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bah\Downloads\Portefolio\Portefolio\Transaction Services\"/>
    </mc:Choice>
  </mc:AlternateContent>
  <xr:revisionPtr revIDLastSave="0" documentId="13_ncr:1_{902B20FE-BDBE-4252-82C4-9C485D394F0B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Lisez-moi" sheetId="1" r:id="rId1"/>
    <sheet name="Hypothèses" sheetId="2" r:id="rId2"/>
    <sheet name="P&amp;L Carve-out" sheetId="3" r:id="rId3"/>
    <sheet name="TSA" sheetId="4" r:id="rId4"/>
    <sheet name="Valo &amp; Retou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C5" i="5"/>
  <c r="C10" i="4"/>
  <c r="C14" i="4" s="1"/>
  <c r="E9" i="4"/>
  <c r="E8" i="4"/>
  <c r="E7" i="4"/>
  <c r="E6" i="4"/>
  <c r="E5" i="4"/>
  <c r="E17" i="3"/>
  <c r="D17" i="3"/>
  <c r="D16" i="3"/>
  <c r="H11" i="3"/>
  <c r="G11" i="3"/>
  <c r="F11" i="3"/>
  <c r="E11" i="3"/>
  <c r="D11" i="3"/>
  <c r="C11" i="3"/>
  <c r="C8" i="3"/>
  <c r="D8" i="3" s="1"/>
  <c r="E8" i="3" s="1"/>
  <c r="F8" i="3" s="1"/>
  <c r="G8" i="3" s="1"/>
  <c r="H8" i="3" s="1"/>
  <c r="C5" i="3"/>
  <c r="C24" i="2"/>
  <c r="D12" i="3" s="1"/>
  <c r="C7" i="2"/>
  <c r="C9" i="2" s="1"/>
  <c r="E10" i="4" l="1"/>
  <c r="C28" i="2" s="1"/>
  <c r="E16" i="3" s="1"/>
  <c r="C9" i="3"/>
  <c r="H12" i="3"/>
  <c r="F12" i="3"/>
  <c r="D5" i="3"/>
  <c r="G12" i="3"/>
  <c r="C12" i="3"/>
  <c r="C13" i="3" s="1"/>
  <c r="E12" i="3"/>
  <c r="C6" i="5" l="1"/>
  <c r="C18" i="3"/>
  <c r="C14" i="3"/>
  <c r="D6" i="3"/>
  <c r="D9" i="3"/>
  <c r="D13" i="3" s="1"/>
  <c r="E5" i="3"/>
  <c r="D18" i="3" l="1"/>
  <c r="D14" i="3"/>
  <c r="E6" i="3"/>
  <c r="E9" i="3"/>
  <c r="E13" i="3" s="1"/>
  <c r="F5" i="3"/>
  <c r="C8" i="5"/>
  <c r="C7" i="5"/>
  <c r="C9" i="5" l="1"/>
  <c r="E18" i="3"/>
  <c r="E14" i="3"/>
  <c r="F6" i="3"/>
  <c r="G5" i="3"/>
  <c r="F9" i="3"/>
  <c r="F13" i="3" s="1"/>
  <c r="F18" i="3" l="1"/>
  <c r="F14" i="3"/>
  <c r="G9" i="3"/>
  <c r="G13" i="3" s="1"/>
  <c r="H5" i="3"/>
  <c r="G6" i="3"/>
  <c r="C12" i="5"/>
  <c r="C11" i="5"/>
  <c r="C10" i="5"/>
  <c r="H9" i="3" l="1"/>
  <c r="H13" i="3" s="1"/>
  <c r="H6" i="3"/>
  <c r="G18" i="3"/>
  <c r="G14" i="3"/>
  <c r="H18" i="3" l="1"/>
  <c r="C18" i="5" s="1"/>
  <c r="H14" i="3"/>
  <c r="C15" i="5"/>
  <c r="E33" i="5" l="1"/>
  <c r="D33" i="5"/>
  <c r="C33" i="5"/>
  <c r="C17" i="5"/>
  <c r="C19" i="5" s="1"/>
  <c r="C22" i="5" s="1"/>
  <c r="C23" i="5" s="1"/>
  <c r="E32" i="5"/>
  <c r="D32" i="5"/>
  <c r="D31" i="5"/>
  <c r="C31" i="5"/>
  <c r="C32" i="5"/>
  <c r="E31" i="5"/>
</calcChain>
</file>

<file path=xl/sharedStrings.xml><?xml version="1.0" encoding="utf-8"?>
<sst xmlns="http://schemas.openxmlformats.org/spreadsheetml/2006/main" count="143" uniqueCount="139">
  <si>
    <t>PROJET HERMÈS — MODÈLE DE CARVE-OUT</t>
  </si>
  <si>
    <t>Reconstruction pédagogique de l'opération Opella (Sanofi / CD&amp;R, closing 30 avril 2025)</t>
  </si>
  <si>
    <t>Objet</t>
  </si>
  <si>
    <t>Modéliser la mécanique financière d'un carve-out : du P&amp;L « périmètre » publié par le vendeur vers un EBITDA stand-alone pro forma, en passant par la réintégration des allocations groupe, les coûts stand-alone récurrents, la TSA (Transition Services Agreement) et les coûts de séparation one-off.</t>
  </si>
  <si>
    <t>Cas d'ancrage</t>
  </si>
  <si>
    <t>Opella (santé grand public de Sanofi) : EV ≈ 16 Md€, ≈ 14x l'EBITDA 2024e, CD&amp;R 50,0 % / Sanofi 48,2 % / Bpifrance 1,8 %, closing 30/04/2025. Chiffres d'ancrage publics ; ajustements carve-out = hypothèses illustratives du rédacteur (« e »).</t>
  </si>
  <si>
    <t>Structure</t>
  </si>
  <si>
    <t>Onglet Hypothèses (toutes les entrées en bleu) → P&amp;L Carve-out (mécanique périmètre → stand-alone → pro forma) → TSA (échéancier des services transitoires) → Valo &amp; Retours (structure d'equity et retours CD&amp;R illustratifs).</t>
  </si>
  <si>
    <t>Convention de calendrier</t>
  </si>
  <si>
    <t>Le closing est intervenu le 30/04/2025 mais le modèle raisonne en années civiles pleines (2025E = 12 mois) : simplification assumée et documentée. Les coûts de TSA et one-off 2025 sont donc légèrement surestimés (12 mois au lieu de 8 post-closing) — conservateur. Une vraie année 1 glissante (mai 2025 - avril 2026) serait la convention contractuelle exacte.</t>
  </si>
  <si>
    <t>Code couleur</t>
  </si>
  <si>
    <t>Bleu : inputs modifiables. Noir : formules. Vert : liens inter-onglets. Fond jaune : hypothèses structurantes à challenger.</t>
  </si>
  <si>
    <t>Sources</t>
  </si>
  <si>
    <t>Communiqués Sanofi des 21/10/2024 et 30/04/2025 ; presse financière (Transacted, FiercePharma). Aucune donnée non publique.</t>
  </si>
  <si>
    <t>Avertissement</t>
  </si>
  <si>
    <t>Document de démonstration méthodologique préparé par Hamza Ben Chaouch (ESSEC) pour un dossier de candidature. Ne constitue ni un conseil ni une valorisation d'Opella.</t>
  </si>
  <si>
    <t>REGISTRE DES SOURCES</t>
  </si>
  <si>
    <t>S1</t>
  </si>
  <si>
    <t>Communiqué de presse Sanofi — négociations exclusives avec CD&amp;R sur Opella : EV c.16 Md€, c.14x EBITDA 2024e. Ce sont les deux seuls chiffres publiés — le communiqué ne donne pas de chiffre d'affaires. Date : 21/10/2024. Canal : sanofi.com (espace presse). Alimente : Hypothèses!C8 (EV 16 000 M€) et l'ancrage du multiple d'entrée. Le CA de ~5,0 Md€ (C5) est un ordre de grandeur presse/analystes classé estimation ; la marge (C6) est un résidu calculé des deux ancrages, pas une donnée publiée.</t>
  </si>
  <si>
    <t>S2</t>
  </si>
  <si>
    <t>Communiqué de presse Sanofi — closing de la cession d'Opella : répartition CD&amp;R 50,0 % / Sanofi 48,2 % / Bpifrance 1,8 %. Date : 30/04/2025. Canal : sanofi.com (espace presse). Alimente : Hypothèses!C10:C12 (participations), convention de calendrier (Lisez-moi).</t>
  </si>
  <si>
    <t>S3</t>
  </si>
  <si>
    <t>Presse financière (Transacted, FiercePharma) — recoupement de l'EV et du multiple d'entrée. Dates : oct. 2024 - avr. 2025. Canal : en ligne. Alimente : recoupement de S1, aucune cellule propre.</t>
  </si>
  <si>
    <t>S4</t>
  </si>
  <si>
    <t>Estimations du rédacteur (« e ») — CA périmètre, trajectoire opérationnelle, ajustements de carve-out, TSA, financement et sortie. Dates : construites le 08/07/2026, revues le 16/07/2026 (CA 5,0 Md€, coût de dette câblé). Alimente : Hypothèses!C5 (avec S1 pour les ancrages), C15:C16, C19:C23, C27, C29:C30, C33:C36 et TSA!C5:D9 — C24 et C28 sont des formules et les lignes intercalaires des titres ou des vides, pas des inputs. Chaque hypothèse porte sa justification en colonne D de l'onglet Hypothèses.</t>
  </si>
  <si>
    <t>HYPOTHÈSES</t>
  </si>
  <si>
    <t>Périmètre et transaction</t>
  </si>
  <si>
    <t>Chiffre d'affaires périmètre FY2024 (M€)</t>
  </si>
  <si>
    <t>Ordre de grandeur public ~5,0 Md€ (réconcilié le 16/07/2026 — l'ancien 5,2 n'était pas soutenu par la source). Ancrages durs du deal : EV 16 Md€ et ~14x EBITDA 2024e (Sanofi, 21/10/2024)</t>
  </si>
  <si>
    <t>Marge d'EBITDA périmètre FY2024 (avant ajustements)</t>
  </si>
  <si>
    <t>Résidu des deux ancrages publiés : EV 16 Md€ / 14x = EBITDA ≈ 1 143 M€, soit ≈ 22,9 % d'un CA de ~5,0 Md€ — la marge n'est pas publiée, elle est implicite du deal</t>
  </si>
  <si>
    <t>EBITDA périmètre FY2024 (M€)</t>
  </si>
  <si>
    <t>Valeur d'entreprise de la transaction (M€)</t>
  </si>
  <si>
    <t>Source : communiqué Sanofi 21/10/2024 — EV c.16 Md€, c.14x EBITDA 2024e</t>
  </si>
  <si>
    <t>Multiple d'entrée implicite EV/EBITDA</t>
  </si>
  <si>
    <t>Participation CD&amp;R</t>
  </si>
  <si>
    <t>Communiqué closing 30/04/2025</t>
  </si>
  <si>
    <t>Participation Sanofi (conservée)</t>
  </si>
  <si>
    <t>Participation Bpifrance</t>
  </si>
  <si>
    <t>Trajectoire opérationnelle 2025-2029</t>
  </si>
  <si>
    <t>Croissance du CA (par an)</t>
  </si>
  <si>
    <t>Hypothèse « e » : croissance CHC marché ~3-4 %</t>
  </si>
  <si>
    <t>Expansion de marge périmètre (pts/an)</t>
  </si>
  <si>
    <t>Hypothèse « e » : mix et pricing</t>
  </si>
  <si>
    <t>Ajustements de carve-out (M€, en année pleine)</t>
  </si>
  <si>
    <t>Réintégration des allocations corporate du vendeur</t>
  </si>
  <si>
    <t>Hypothèse « e » : coûts de siège alloués par Sanofi non repris tels quels (~1,5 % du CA)</t>
  </si>
  <si>
    <t>Coûts stand-alone — IT et infrastructure</t>
  </si>
  <si>
    <t>Hypothèse « e » : ERP, licences, cybersécurité en propre</t>
  </si>
  <si>
    <t>Coûts stand-alone — fonctions support (finance, RH, juridique)</t>
  </si>
  <si>
    <t>Hypothèse « e »</t>
  </si>
  <si>
    <t>Coûts stand-alone — distribution et achats (perte de mutualisation)</t>
  </si>
  <si>
    <t>Coûts stand-alone — qualité, réglementaire, pharmacovigilance</t>
  </si>
  <si>
    <t>Total coûts stand-alone récurrents</t>
  </si>
  <si>
    <t>TSA et séparation</t>
  </si>
  <si>
    <t>Coût TSA année 1 (M€)</t>
  </si>
  <si>
    <t>Hypothèse « e » : services facturés par Sanofi pendant la transition</t>
  </si>
  <si>
    <t>Coût TSA année 2 (M€) — proratisé par service, voir onglet TSA</t>
  </si>
  <si>
    <t>Coûts one-off de séparation (M€, total)</t>
  </si>
  <si>
    <t>Hypothèse « e » : projet de séparation IT, rebranding, juridique — étalés 2025-2026</t>
  </si>
  <si>
    <t>Quote-part des one-offs en 2025</t>
  </si>
  <si>
    <t>Hypothèse « e » : phasage majoritaire en année 1 (IT et juridique engagés dès le closing), solde en 2026</t>
  </si>
  <si>
    <t>Financement et sortie (vue CD&amp;R illustrative)</t>
  </si>
  <si>
    <t>Levier à l'entrée (x EBITDA stand-alone PF)</t>
  </si>
  <si>
    <t>Hypothèse « e » : financement large-cap</t>
  </si>
  <si>
    <t>Coût moyen de la dette</t>
  </si>
  <si>
    <t>Hypothèse « e » — CÂBLÉ dans le proxy de désendettement depuis le 16/07/2026 : intérêts approximés sur la dette d'entrée (constants, conservateur), 5 années de détention</t>
  </si>
  <si>
    <t>Multiple de sortie EV/EBITDA (2029)</t>
  </si>
  <si>
    <t>Hypothèse « e » : maintien du multiple d'entrée</t>
  </si>
  <si>
    <t>Conversion de l'EBITDA cash en flux avant intérêts</t>
  </si>
  <si>
    <t>Hypothèse « e » : après impôts, capex et BFR mais AVANT intérêts (désormais modélisés séparément via C34) — proxy, pas un cash-flow complet</t>
  </si>
  <si>
    <t>P&amp;L CARVE-OUT — DU PÉRIMÈTRE AU STAND-ALONE PRO FORMA (M€)</t>
  </si>
  <si>
    <t>FY2024 PF</t>
  </si>
  <si>
    <t>2025E</t>
  </si>
  <si>
    <t>2026E</t>
  </si>
  <si>
    <t>2027E</t>
  </si>
  <si>
    <t>2028E</t>
  </si>
  <si>
    <t>2029E</t>
  </si>
  <si>
    <t>Chiffre d'affaires</t>
  </si>
  <si>
    <t>Croissance (%)</t>
  </si>
  <si>
    <t>Marge d'EBITDA périmètre (avant ajustements)</t>
  </si>
  <si>
    <t>EBITDA périmètre (tel qu'alloué par le vendeur)</t>
  </si>
  <si>
    <t>Réintégration des allocations corporate</t>
  </si>
  <si>
    <t>Coûts stand-alone récurrents</t>
  </si>
  <si>
    <t>EBITDA stand-alone (année pleine)</t>
  </si>
  <si>
    <t>Marge stand-alone (%)</t>
  </si>
  <si>
    <t>Coûts de TSA (transitoires)</t>
  </si>
  <si>
    <t>Coûts one-off de séparation</t>
  </si>
  <si>
    <t>EBITDA pro forma « cash » (après TSA et one-offs)</t>
  </si>
  <si>
    <t>Lecture : l'EBITDA « année pleine » stand-alone (ligne 13) est l'agrégat de valorisation ; l'EBITDA « cash » (ligne 18) mesure la réalité des flux pendant la transition — l'écart 2025-2026 (TSA + one-offs) doit être financé et se retrouve dans le bridge de dette nette au closing.</t>
  </si>
  <si>
    <t>TSA — SERVICES TRANSITOIRES (ILLUSTRATIF)</t>
  </si>
  <si>
    <t>Service</t>
  </si>
  <si>
    <t>Coût annuel an 1 (M€)</t>
  </si>
  <si>
    <t>Durée (mois)</t>
  </si>
  <si>
    <t>Coût an 2 (M€, proratisé)</t>
  </si>
  <si>
    <t>Stratégie de sortie</t>
  </si>
  <si>
    <t>IT (ERP, infrastructure, support)</t>
  </si>
  <si>
    <t>Migration vers un ERP en propre ; contrat d'infogérance</t>
  </si>
  <si>
    <t>Supply chain et logistique</t>
  </si>
  <si>
    <t>Reprise des contrats 3PL en direct</t>
  </si>
  <si>
    <t>Finance (comptabilité, paie, fiscalité)</t>
  </si>
  <si>
    <t>Internalisation + centre de services partagés</t>
  </si>
  <si>
    <t>Réglementaire et pharmacovigilance</t>
  </si>
  <si>
    <t>Recrutement d'équipes dédiées (contrainte de licences)</t>
  </si>
  <si>
    <t>Autres (immobilier, achats)</t>
  </si>
  <si>
    <t>Baux directs, contrats cadres propres</t>
  </si>
  <si>
    <t>Total TSA</t>
  </si>
  <si>
    <t>Contrôle : le total an 1 doit être cohérent avec l'hypothèse globale (Hypothèses!C27). Année 2 : chaque service paie MAX(0; MIN(12; durée−12))/12 de son coût annuel — un service de 24 mois porte 12 mois pleins en année 2 (correction du forfait 50 % du 15/07/2026, audit §7.3).</t>
  </si>
  <si>
    <t>Écart contrôle an 1 (doit être 0)</t>
  </si>
  <si>
    <t>STRUCTURE ET RETOURS ILLUSTRATIFS (VUE CD&amp;R)</t>
  </si>
  <si>
    <t>Structure à l'entrée (M€)</t>
  </si>
  <si>
    <t>Valeur d'entreprise</t>
  </si>
  <si>
    <t>EBITDA stand-alone FY2024 PF (référence)</t>
  </si>
  <si>
    <t>Multiple d'entrée sur stand-alone</t>
  </si>
  <si>
    <t>Dette d'acquisition (levier x EBITDA stand-alone)</t>
  </si>
  <si>
    <t>Equity totale à l'entrée</t>
  </si>
  <si>
    <t xml:space="preserve">  dont CD&amp;R (50,0 %)</t>
  </si>
  <si>
    <t xml:space="preserve">  dont Sanofi (48,2 %)</t>
  </si>
  <si>
    <t xml:space="preserve">  dont Bpifrance (1,8 %)</t>
  </si>
  <si>
    <t>Sortie illustrative (2029)</t>
  </si>
  <si>
    <t>EBITDA stand-alone 2029E</t>
  </si>
  <si>
    <t>Multiple de sortie</t>
  </si>
  <si>
    <t>Valeur d'entreprise à la sortie</t>
  </si>
  <si>
    <t>Dette nette à la sortie (désendettement simplifié)</t>
  </si>
  <si>
    <t>Proxy : désendettement = conversion (C36) x EBITDA cash cumulé − 5 ans d'intérêts sur la dette d'entrée (C34 x C8, constants = conservateur). Toujours pas un debt schedule ni un cash-flow complet — mais le coût de dette agit désormais réellement sur le retour</t>
  </si>
  <si>
    <t>Equity à la sortie</t>
  </si>
  <si>
    <t>Retours CD&amp;R (avant frais, dividendes exclus)</t>
  </si>
  <si>
    <t>MOIC</t>
  </si>
  <si>
    <t>TRI (4,7 ans, closing avr. 2025 → 2029)</t>
  </si>
  <si>
    <t>Lecture assumée : le TRI illustratif ressort en single-digit (7,5 %) au prix payé — c'est une illustration mécanique, PAS un underwriting. L'entrée représente ~14,0x l'EBITDA périmètre publié implicite et ~14,5x l'EBITDA stand-alone après ajustements, contre 14,0x à la sortie. Le coût de dette consomme environ 1,65 point de TRI par rapport au proxy levered sans intérêts, mais le levier reste relutif face au cas non levered (~4,0 % non levered vs 7,5 % levered). À ce prix, le retour dépend d'abord de l'exécution : tenir les coûts stand-alone, sortir de la TSA à temps, expansion opérationnelle. La sensibilité clé reste la ligne des coûts stand-alone : +50 M€ récurrents = ~700 M€ d'EV au multiple d'entrée.</t>
  </si>
  <si>
    <t>Sensibilité du TRI CD&amp;R — multiple de sortie × conversion cash</t>
  </si>
  <si>
    <t>TRI</t>
  </si>
  <si>
    <t>Conversion 35%</t>
  </si>
  <si>
    <t>Conversion 45%</t>
  </si>
  <si>
    <t>Conversion 60%</t>
  </si>
  <si>
    <t>Sortie 10.0x</t>
  </si>
  <si>
    <t>Sortie 12.0x</t>
  </si>
  <si>
    <t>Sortie 14.0x</t>
  </si>
  <si>
    <t>Autres sensibilités à tester en phase 2 : coûts stand-alone ±50 M€, sortie TSA 12-30 mois, one-offs 100-250 M€, croissance 1-5 %, levier 3-5x (audit §7.7).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</si>
</sst>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&quot;-&quot;"/>
    <numFmt numFmtId="165" formatCode="0.0%"/>
    <numFmt numFmtId="166" formatCode="0.0\x"/>
  </numFmts>
  <fonts count="12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b/>
      <sz val="10"/>
      <color rgb="FF1F3864"/>
      <name val="Arial"/>
    </font>
    <font>
      <b/>
      <sz val="10"/>
      <name val="Arial"/>
    </font>
    <font>
      <sz val="10"/>
      <color rgb="FF000000"/>
      <name val="Arial"/>
    </font>
    <font>
      <sz val="10"/>
      <color rgb="FF0000FF"/>
      <name val="Arial"/>
    </font>
    <font>
      <sz val="8"/>
      <color rgb="FF808080"/>
      <name val="Arial"/>
    </font>
    <font>
      <sz val="10"/>
      <color rgb="FF008000"/>
      <name val="Arial"/>
    </font>
    <font>
      <b/>
      <sz val="10"/>
      <color rgb="FFFFFFFF"/>
      <name val="Arial"/>
    </font>
    <font>
      <sz val="9"/>
      <color rgb="FF808080"/>
      <name val="Arial"/>
    </font>
    <font>
      <b/>
      <sz val="10"/>
      <color rgb="FF000000"/>
      <name val="Arial"/>
    </font>
    <font>
      <sz val="9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2F3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/>
    <xf numFmtId="164" fontId="5" fillId="0" borderId="0" xfId="0" applyNumberFormat="1" applyFont="1"/>
    <xf numFmtId="0" fontId="6" fillId="0" borderId="0" xfId="0" applyFont="1"/>
    <xf numFmtId="165" fontId="5" fillId="2" borderId="0" xfId="0" applyNumberFormat="1" applyFont="1" applyFill="1"/>
    <xf numFmtId="164" fontId="4" fillId="0" borderId="0" xfId="0" applyNumberFormat="1" applyFont="1"/>
    <xf numFmtId="166" fontId="4" fillId="0" borderId="0" xfId="0" applyNumberFormat="1" applyFont="1"/>
    <xf numFmtId="165" fontId="5" fillId="0" borderId="0" xfId="0" applyNumberFormat="1" applyFont="1"/>
    <xf numFmtId="164" fontId="5" fillId="2" borderId="0" xfId="0" applyNumberFormat="1" applyFont="1" applyFill="1"/>
    <xf numFmtId="164" fontId="4" fillId="3" borderId="0" xfId="0" applyNumberFormat="1" applyFont="1" applyFill="1"/>
    <xf numFmtId="164" fontId="7" fillId="0" borderId="0" xfId="0" applyNumberFormat="1" applyFont="1"/>
    <xf numFmtId="166" fontId="5" fillId="0" borderId="0" xfId="0" applyNumberFormat="1" applyFont="1"/>
    <xf numFmtId="166" fontId="5" fillId="2" borderId="0" xfId="0" applyNumberFormat="1" applyFont="1" applyFill="1"/>
    <xf numFmtId="0" fontId="8" fillId="4" borderId="0" xfId="0" applyFont="1" applyFill="1" applyAlignment="1">
      <alignment horizontal="center"/>
    </xf>
    <xf numFmtId="0" fontId="9" fillId="0" borderId="0" xfId="0" applyFont="1"/>
    <xf numFmtId="165" fontId="9" fillId="0" borderId="0" xfId="0" applyNumberFormat="1" applyFont="1"/>
    <xf numFmtId="165" fontId="7" fillId="0" borderId="0" xfId="0" applyNumberFormat="1" applyFont="1"/>
    <xf numFmtId="165" fontId="4" fillId="0" borderId="0" xfId="0" applyNumberFormat="1" applyFont="1"/>
    <xf numFmtId="164" fontId="10" fillId="0" borderId="0" xfId="0" applyNumberFormat="1" applyFont="1"/>
    <xf numFmtId="164" fontId="10" fillId="3" borderId="0" xfId="0" applyNumberFormat="1" applyFont="1" applyFill="1"/>
    <xf numFmtId="164" fontId="10" fillId="0" borderId="1" xfId="0" applyNumberFormat="1" applyFont="1" applyBorder="1"/>
    <xf numFmtId="0" fontId="8" fillId="4" borderId="0" xfId="0" applyFont="1" applyFill="1"/>
    <xf numFmtId="0" fontId="11" fillId="0" borderId="0" xfId="0" applyFont="1"/>
    <xf numFmtId="166" fontId="7" fillId="0" borderId="0" xfId="0" applyNumberFormat="1" applyFont="1"/>
    <xf numFmtId="166" fontId="10" fillId="0" borderId="0" xfId="0" applyNumberFormat="1" applyFont="1"/>
    <xf numFmtId="165" fontId="10" fillId="0" borderId="0" xfId="0" applyNumberFormat="1" applyFont="1"/>
    <xf numFmtId="165" fontId="4" fillId="0" borderId="0" xfId="0" applyNumberFormat="1" applyFont="1" applyAlignment="1">
      <alignment horizontal="right"/>
    </xf>
    <xf numFmtId="165" fontId="4" fillId="3" borderId="0" xfId="0" applyNumberFormat="1" applyFont="1" applyFill="1" applyAlignment="1">
      <alignment horizontal="right"/>
    </xf>
    <xf numFmtId="0" fontId="11" fillId="0" borderId="0" xfId="0" applyFont="1" applyAlignment="1">
      <alignment vertical="top" wrapText="1"/>
    </xf>
    <xf numFmtId="0" fontId="0" fillId="0" borderId="0" xfId="0"/>
    <xf numFmtId="0" fontId="9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showGridLines="0" tabSelected="1" workbookViewId="0"/>
  </sheetViews>
  <sheetFormatPr defaultRowHeight="15" x14ac:dyDescent="0.25"/>
  <cols>
    <col min="1" max="1" width="3" customWidth="1"/>
    <col min="2" max="2" width="26" customWidth="1"/>
    <col min="3" max="3" width="95" customWidth="1"/>
  </cols>
  <sheetData>
    <row r="2" spans="2:3" ht="16.5" x14ac:dyDescent="0.25">
      <c r="B2" s="1" t="s">
        <v>0</v>
      </c>
    </row>
    <row r="3" spans="2:3" x14ac:dyDescent="0.25">
      <c r="B3" s="2" t="s">
        <v>1</v>
      </c>
    </row>
    <row r="5" spans="2:3" ht="42" customHeight="1" x14ac:dyDescent="0.25">
      <c r="B5" s="3" t="s">
        <v>2</v>
      </c>
      <c r="C5" s="4" t="s">
        <v>3</v>
      </c>
    </row>
    <row r="6" spans="2:3" ht="42" customHeight="1" x14ac:dyDescent="0.25">
      <c r="B6" s="3" t="s">
        <v>4</v>
      </c>
      <c r="C6" s="4" t="s">
        <v>5</v>
      </c>
    </row>
    <row r="7" spans="2:3" ht="42" customHeight="1" x14ac:dyDescent="0.25">
      <c r="B7" s="3" t="s">
        <v>6</v>
      </c>
      <c r="C7" s="4" t="s">
        <v>7</v>
      </c>
    </row>
    <row r="8" spans="2:3" ht="42" customHeight="1" x14ac:dyDescent="0.25">
      <c r="B8" s="3" t="s">
        <v>8</v>
      </c>
      <c r="C8" s="4" t="s">
        <v>9</v>
      </c>
    </row>
    <row r="9" spans="2:3" ht="42" customHeight="1" x14ac:dyDescent="0.25">
      <c r="B9" s="3" t="s">
        <v>10</v>
      </c>
      <c r="C9" s="4" t="s">
        <v>11</v>
      </c>
    </row>
    <row r="10" spans="2:3" ht="42" customHeight="1" x14ac:dyDescent="0.25">
      <c r="B10" s="3" t="s">
        <v>12</v>
      </c>
      <c r="C10" s="4" t="s">
        <v>13</v>
      </c>
    </row>
    <row r="11" spans="2:3" ht="42" customHeight="1" x14ac:dyDescent="0.25">
      <c r="B11" s="3" t="s">
        <v>14</v>
      </c>
      <c r="C11" s="4" t="s">
        <v>15</v>
      </c>
    </row>
    <row r="13" spans="2:3" x14ac:dyDescent="0.25">
      <c r="B13" s="2" t="s">
        <v>16</v>
      </c>
    </row>
    <row r="14" spans="2:3" ht="90" customHeight="1" x14ac:dyDescent="0.25">
      <c r="B14" s="3" t="s">
        <v>17</v>
      </c>
      <c r="C14" s="4" t="s">
        <v>18</v>
      </c>
    </row>
    <row r="15" spans="2:3" ht="60" customHeight="1" x14ac:dyDescent="0.25">
      <c r="B15" s="3" t="s">
        <v>19</v>
      </c>
      <c r="C15" s="4" t="s">
        <v>20</v>
      </c>
    </row>
    <row r="16" spans="2:3" ht="54.95" customHeight="1" x14ac:dyDescent="0.25">
      <c r="B16" s="3" t="s">
        <v>21</v>
      </c>
      <c r="C16" s="4" t="s">
        <v>22</v>
      </c>
    </row>
    <row r="17" spans="2:3" ht="90" customHeight="1" x14ac:dyDescent="0.25">
      <c r="B17" s="3" t="s">
        <v>23</v>
      </c>
      <c r="C17" s="4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6"/>
  <sheetViews>
    <sheetView showGridLines="0" workbookViewId="0"/>
  </sheetViews>
  <sheetFormatPr defaultRowHeight="15" x14ac:dyDescent="0.25"/>
  <cols>
    <col min="1" max="1" width="3" customWidth="1"/>
    <col min="2" max="2" width="52" customWidth="1"/>
    <col min="3" max="3" width="14" customWidth="1"/>
    <col min="4" max="4" width="80" customWidth="1"/>
  </cols>
  <sheetData>
    <row r="2" spans="2:4" ht="16.5" x14ac:dyDescent="0.25">
      <c r="B2" s="1" t="s">
        <v>25</v>
      </c>
    </row>
    <row r="4" spans="2:4" x14ac:dyDescent="0.25">
      <c r="B4" s="2" t="s">
        <v>26</v>
      </c>
    </row>
    <row r="5" spans="2:4" x14ac:dyDescent="0.25">
      <c r="B5" s="5" t="s">
        <v>27</v>
      </c>
      <c r="C5" s="6">
        <v>5000</v>
      </c>
      <c r="D5" s="7" t="s">
        <v>28</v>
      </c>
    </row>
    <row r="6" spans="2:4" x14ac:dyDescent="0.25">
      <c r="B6" s="5" t="s">
        <v>29</v>
      </c>
      <c r="C6" s="8">
        <v>0.2286</v>
      </c>
      <c r="D6" s="7" t="s">
        <v>30</v>
      </c>
    </row>
    <row r="7" spans="2:4" x14ac:dyDescent="0.25">
      <c r="B7" s="5" t="s">
        <v>31</v>
      </c>
      <c r="C7" s="9">
        <f>C5*C6</f>
        <v>1143</v>
      </c>
    </row>
    <row r="8" spans="2:4" x14ac:dyDescent="0.25">
      <c r="B8" s="5" t="s">
        <v>32</v>
      </c>
      <c r="C8" s="6">
        <v>16000</v>
      </c>
      <c r="D8" s="7" t="s">
        <v>33</v>
      </c>
    </row>
    <row r="9" spans="2:4" x14ac:dyDescent="0.25">
      <c r="B9" s="5" t="s">
        <v>34</v>
      </c>
      <c r="C9" s="10">
        <f>C8/C7</f>
        <v>13.99825021872266</v>
      </c>
    </row>
    <row r="10" spans="2:4" x14ac:dyDescent="0.25">
      <c r="B10" s="5" t="s">
        <v>35</v>
      </c>
      <c r="C10" s="11">
        <v>0.5</v>
      </c>
      <c r="D10" s="7" t="s">
        <v>36</v>
      </c>
    </row>
    <row r="11" spans="2:4" x14ac:dyDescent="0.25">
      <c r="B11" s="5" t="s">
        <v>37</v>
      </c>
      <c r="C11" s="11">
        <v>0.48199999999999998</v>
      </c>
      <c r="D11" s="7" t="s">
        <v>36</v>
      </c>
    </row>
    <row r="12" spans="2:4" x14ac:dyDescent="0.25">
      <c r="B12" s="5" t="s">
        <v>38</v>
      </c>
      <c r="C12" s="11">
        <v>1.7999999999999999E-2</v>
      </c>
      <c r="D12" s="7" t="s">
        <v>36</v>
      </c>
    </row>
    <row r="14" spans="2:4" x14ac:dyDescent="0.25">
      <c r="B14" s="2" t="s">
        <v>39</v>
      </c>
    </row>
    <row r="15" spans="2:4" x14ac:dyDescent="0.25">
      <c r="B15" s="5" t="s">
        <v>40</v>
      </c>
      <c r="C15" s="11">
        <v>0.03</v>
      </c>
      <c r="D15" s="7" t="s">
        <v>41</v>
      </c>
    </row>
    <row r="16" spans="2:4" x14ac:dyDescent="0.25">
      <c r="B16" s="5" t="s">
        <v>42</v>
      </c>
      <c r="C16" s="11">
        <v>3.0000000000000001E-3</v>
      </c>
      <c r="D16" s="7" t="s">
        <v>43</v>
      </c>
    </row>
    <row r="18" spans="2:4" x14ac:dyDescent="0.25">
      <c r="B18" s="2" t="s">
        <v>44</v>
      </c>
    </row>
    <row r="19" spans="2:4" x14ac:dyDescent="0.25">
      <c r="B19" s="5" t="s">
        <v>45</v>
      </c>
      <c r="C19" s="12">
        <v>80</v>
      </c>
      <c r="D19" s="7" t="s">
        <v>46</v>
      </c>
    </row>
    <row r="20" spans="2:4" x14ac:dyDescent="0.25">
      <c r="B20" s="5" t="s">
        <v>47</v>
      </c>
      <c r="C20" s="6">
        <v>-40</v>
      </c>
      <c r="D20" s="7" t="s">
        <v>48</v>
      </c>
    </row>
    <row r="21" spans="2:4" x14ac:dyDescent="0.25">
      <c r="B21" s="5" t="s">
        <v>49</v>
      </c>
      <c r="C21" s="6">
        <v>-30</v>
      </c>
      <c r="D21" s="7" t="s">
        <v>50</v>
      </c>
    </row>
    <row r="22" spans="2:4" x14ac:dyDescent="0.25">
      <c r="B22" s="5" t="s">
        <v>51</v>
      </c>
      <c r="C22" s="6">
        <v>-25</v>
      </c>
      <c r="D22" s="7" t="s">
        <v>50</v>
      </c>
    </row>
    <row r="23" spans="2:4" x14ac:dyDescent="0.25">
      <c r="B23" s="5" t="s">
        <v>52</v>
      </c>
      <c r="C23" s="6">
        <v>-25</v>
      </c>
      <c r="D23" s="7" t="s">
        <v>50</v>
      </c>
    </row>
    <row r="24" spans="2:4" x14ac:dyDescent="0.25">
      <c r="B24" s="3" t="s">
        <v>53</v>
      </c>
      <c r="C24" s="13">
        <f>SUM(C20:C23)</f>
        <v>-120</v>
      </c>
    </row>
    <row r="26" spans="2:4" x14ac:dyDescent="0.25">
      <c r="B26" s="2" t="s">
        <v>54</v>
      </c>
    </row>
    <row r="27" spans="2:4" x14ac:dyDescent="0.25">
      <c r="B27" s="5" t="s">
        <v>55</v>
      </c>
      <c r="C27" s="12">
        <v>-60</v>
      </c>
      <c r="D27" s="7" t="s">
        <v>56</v>
      </c>
    </row>
    <row r="28" spans="2:4" x14ac:dyDescent="0.25">
      <c r="B28" s="5" t="s">
        <v>57</v>
      </c>
      <c r="C28" s="14">
        <f>TSA!E10</f>
        <v>-38.5</v>
      </c>
    </row>
    <row r="29" spans="2:4" x14ac:dyDescent="0.25">
      <c r="B29" s="5" t="s">
        <v>58</v>
      </c>
      <c r="C29" s="6">
        <v>-150</v>
      </c>
      <c r="D29" s="7" t="s">
        <v>59</v>
      </c>
    </row>
    <row r="30" spans="2:4" x14ac:dyDescent="0.25">
      <c r="B30" s="5" t="s">
        <v>60</v>
      </c>
      <c r="C30" s="11">
        <v>0.6</v>
      </c>
      <c r="D30" s="7" t="s">
        <v>61</v>
      </c>
    </row>
    <row r="32" spans="2:4" x14ac:dyDescent="0.25">
      <c r="B32" s="2" t="s">
        <v>62</v>
      </c>
    </row>
    <row r="33" spans="2:4" x14ac:dyDescent="0.25">
      <c r="B33" s="5" t="s">
        <v>63</v>
      </c>
      <c r="C33" s="15">
        <v>4</v>
      </c>
      <c r="D33" s="7" t="s">
        <v>64</v>
      </c>
    </row>
    <row r="34" spans="2:4" x14ac:dyDescent="0.25">
      <c r="B34" s="5" t="s">
        <v>65</v>
      </c>
      <c r="C34" s="11">
        <v>5.5E-2</v>
      </c>
      <c r="D34" s="7" t="s">
        <v>66</v>
      </c>
    </row>
    <row r="35" spans="2:4" x14ac:dyDescent="0.25">
      <c r="B35" s="5" t="s">
        <v>67</v>
      </c>
      <c r="C35" s="16">
        <v>14</v>
      </c>
      <c r="D35" s="7" t="s">
        <v>68</v>
      </c>
    </row>
    <row r="36" spans="2:4" x14ac:dyDescent="0.25">
      <c r="B36" s="5" t="s">
        <v>69</v>
      </c>
      <c r="C36" s="8">
        <v>0.45</v>
      </c>
      <c r="D36" s="7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3"/>
  <sheetViews>
    <sheetView showGridLines="0" workbookViewId="0"/>
  </sheetViews>
  <sheetFormatPr defaultRowHeight="15" x14ac:dyDescent="0.25"/>
  <cols>
    <col min="1" max="1" width="3" customWidth="1"/>
    <col min="2" max="2" width="56" customWidth="1"/>
    <col min="3" max="8" width="13" customWidth="1"/>
  </cols>
  <sheetData>
    <row r="2" spans="2:8" ht="16.5" x14ac:dyDescent="0.25">
      <c r="B2" s="1" t="s">
        <v>71</v>
      </c>
    </row>
    <row r="4" spans="2:8" x14ac:dyDescent="0.25">
      <c r="C4" s="17" t="s">
        <v>72</v>
      </c>
      <c r="D4" s="17" t="s">
        <v>73</v>
      </c>
      <c r="E4" s="17" t="s">
        <v>74</v>
      </c>
      <c r="F4" s="17" t="s">
        <v>75</v>
      </c>
      <c r="G4" s="17" t="s">
        <v>76</v>
      </c>
      <c r="H4" s="17" t="s">
        <v>77</v>
      </c>
    </row>
    <row r="5" spans="2:8" x14ac:dyDescent="0.25">
      <c r="B5" s="5" t="s">
        <v>78</v>
      </c>
      <c r="C5" s="14">
        <f>Hypothèses!C5</f>
        <v>5000</v>
      </c>
      <c r="D5" s="9">
        <f>C5*(1+Hypothèses!$C$15)</f>
        <v>5150</v>
      </c>
      <c r="E5" s="9">
        <f>D5*(1+Hypothèses!$C$15)</f>
        <v>5304.5</v>
      </c>
      <c r="F5" s="9">
        <f>E5*(1+Hypothèses!$C$15)</f>
        <v>5463.6350000000002</v>
      </c>
      <c r="G5" s="9">
        <f>F5*(1+Hypothèses!$C$15)</f>
        <v>5627.5440500000004</v>
      </c>
      <c r="H5" s="9">
        <f>G5*(1+Hypothèses!$C$15)</f>
        <v>5796.3703715000001</v>
      </c>
    </row>
    <row r="6" spans="2:8" x14ac:dyDescent="0.25">
      <c r="B6" s="18" t="s">
        <v>79</v>
      </c>
      <c r="D6" s="19">
        <f>D5/C5-1</f>
        <v>3.0000000000000027E-2</v>
      </c>
      <c r="E6" s="19">
        <f>E5/D5-1</f>
        <v>3.0000000000000027E-2</v>
      </c>
      <c r="F6" s="19">
        <f>F5/E5-1</f>
        <v>3.0000000000000027E-2</v>
      </c>
      <c r="G6" s="19">
        <f>G5/F5-1</f>
        <v>3.0000000000000027E-2</v>
      </c>
      <c r="H6" s="19">
        <f>H5/G5-1</f>
        <v>3.0000000000000027E-2</v>
      </c>
    </row>
    <row r="8" spans="2:8" x14ac:dyDescent="0.25">
      <c r="B8" s="18" t="s">
        <v>80</v>
      </c>
      <c r="C8" s="20">
        <f>Hypothèses!C6</f>
        <v>0.2286</v>
      </c>
      <c r="D8" s="21">
        <f>C8+Hypothèses!$C$16</f>
        <v>0.2316</v>
      </c>
      <c r="E8" s="21">
        <f>D8+Hypothèses!$C$16</f>
        <v>0.2346</v>
      </c>
      <c r="F8" s="21">
        <f>E8+Hypothèses!$C$16</f>
        <v>0.23760000000000001</v>
      </c>
      <c r="G8" s="21">
        <f>F8+Hypothèses!$C$16</f>
        <v>0.24060000000000001</v>
      </c>
      <c r="H8" s="21">
        <f>G8+Hypothèses!$C$16</f>
        <v>0.24360000000000001</v>
      </c>
    </row>
    <row r="9" spans="2:8" x14ac:dyDescent="0.25">
      <c r="B9" s="3" t="s">
        <v>81</v>
      </c>
      <c r="C9" s="22">
        <f t="shared" ref="C9:H9" si="0">C5*C8</f>
        <v>1143</v>
      </c>
      <c r="D9" s="22">
        <f t="shared" si="0"/>
        <v>1192.74</v>
      </c>
      <c r="E9" s="22">
        <f t="shared" si="0"/>
        <v>1244.4357</v>
      </c>
      <c r="F9" s="22">
        <f t="shared" si="0"/>
        <v>1298.159676</v>
      </c>
      <c r="G9" s="22">
        <f t="shared" si="0"/>
        <v>1353.9870984300001</v>
      </c>
      <c r="H9" s="22">
        <f t="shared" si="0"/>
        <v>1411.9958224974</v>
      </c>
    </row>
    <row r="11" spans="2:8" x14ac:dyDescent="0.25">
      <c r="B11" s="5" t="s">
        <v>82</v>
      </c>
      <c r="C11" s="14">
        <f>Hypothèses!$C$19</f>
        <v>80</v>
      </c>
      <c r="D11" s="14">
        <f>Hypothèses!$C$19</f>
        <v>80</v>
      </c>
      <c r="E11" s="14">
        <f>Hypothèses!$C$19</f>
        <v>80</v>
      </c>
      <c r="F11" s="14">
        <f>Hypothèses!$C$19</f>
        <v>80</v>
      </c>
      <c r="G11" s="14">
        <f>Hypothèses!$C$19</f>
        <v>80</v>
      </c>
      <c r="H11" s="14">
        <f>Hypothèses!$C$19</f>
        <v>80</v>
      </c>
    </row>
    <row r="12" spans="2:8" x14ac:dyDescent="0.25">
      <c r="B12" s="5" t="s">
        <v>83</v>
      </c>
      <c r="C12" s="14">
        <f>Hypothèses!$C$24</f>
        <v>-120</v>
      </c>
      <c r="D12" s="14">
        <f>Hypothèses!$C$24</f>
        <v>-120</v>
      </c>
      <c r="E12" s="14">
        <f>Hypothèses!$C$24</f>
        <v>-120</v>
      </c>
      <c r="F12" s="14">
        <f>Hypothèses!$C$24</f>
        <v>-120</v>
      </c>
      <c r="G12" s="14">
        <f>Hypothèses!$C$24</f>
        <v>-120</v>
      </c>
      <c r="H12" s="14">
        <f>Hypothèses!$C$24</f>
        <v>-120</v>
      </c>
    </row>
    <row r="13" spans="2:8" x14ac:dyDescent="0.25">
      <c r="B13" s="3" t="s">
        <v>84</v>
      </c>
      <c r="C13" s="23">
        <f t="shared" ref="C13:H13" si="1">C9+C11+C12</f>
        <v>1103</v>
      </c>
      <c r="D13" s="23">
        <f t="shared" si="1"/>
        <v>1152.74</v>
      </c>
      <c r="E13" s="23">
        <f t="shared" si="1"/>
        <v>1204.4357</v>
      </c>
      <c r="F13" s="23">
        <f t="shared" si="1"/>
        <v>1258.159676</v>
      </c>
      <c r="G13" s="23">
        <f t="shared" si="1"/>
        <v>1313.9870984300001</v>
      </c>
      <c r="H13" s="23">
        <f t="shared" si="1"/>
        <v>1371.9958224974</v>
      </c>
    </row>
    <row r="14" spans="2:8" x14ac:dyDescent="0.25">
      <c r="B14" s="18" t="s">
        <v>85</v>
      </c>
      <c r="C14" s="19">
        <f t="shared" ref="C14:H14" si="2">C13/C5</f>
        <v>0.22059999999999999</v>
      </c>
      <c r="D14" s="19">
        <f t="shared" si="2"/>
        <v>0.22383300970873787</v>
      </c>
      <c r="E14" s="19">
        <f t="shared" si="2"/>
        <v>0.22705923272692996</v>
      </c>
      <c r="F14" s="19">
        <f t="shared" si="2"/>
        <v>0.23027886672517472</v>
      </c>
      <c r="G14" s="19">
        <f t="shared" si="2"/>
        <v>0.2334921036166745</v>
      </c>
      <c r="H14" s="19">
        <f t="shared" si="2"/>
        <v>0.23669912972492668</v>
      </c>
    </row>
    <row r="16" spans="2:8" x14ac:dyDescent="0.25">
      <c r="B16" s="5" t="s">
        <v>86</v>
      </c>
      <c r="C16" s="9">
        <v>0</v>
      </c>
      <c r="D16" s="14">
        <f>Hypothèses!$C$27</f>
        <v>-60</v>
      </c>
      <c r="E16" s="14">
        <f>Hypothèses!$C$28</f>
        <v>-38.5</v>
      </c>
      <c r="F16" s="9">
        <v>0</v>
      </c>
      <c r="G16" s="9">
        <v>0</v>
      </c>
      <c r="H16" s="9">
        <v>0</v>
      </c>
    </row>
    <row r="17" spans="2:8" x14ac:dyDescent="0.25">
      <c r="B17" s="5" t="s">
        <v>87</v>
      </c>
      <c r="C17" s="9">
        <v>0</v>
      </c>
      <c r="D17" s="9">
        <f>Hypothèses!$C$29*Hypothèses!$C$30</f>
        <v>-90</v>
      </c>
      <c r="E17" s="9">
        <f>Hypothèses!$C$29*(1-Hypothèses!$C$30)</f>
        <v>-60</v>
      </c>
      <c r="F17" s="9">
        <v>0</v>
      </c>
      <c r="G17" s="9">
        <v>0</v>
      </c>
      <c r="H17" s="9">
        <v>0</v>
      </c>
    </row>
    <row r="18" spans="2:8" x14ac:dyDescent="0.25">
      <c r="B18" s="3" t="s">
        <v>88</v>
      </c>
      <c r="C18" s="24">
        <f t="shared" ref="C18:H18" si="3">C13+C16+C17</f>
        <v>1103</v>
      </c>
      <c r="D18" s="24">
        <f t="shared" si="3"/>
        <v>1002.74</v>
      </c>
      <c r="E18" s="24">
        <f t="shared" si="3"/>
        <v>1105.9357</v>
      </c>
      <c r="F18" s="24">
        <f t="shared" si="3"/>
        <v>1258.159676</v>
      </c>
      <c r="G18" s="24">
        <f t="shared" si="3"/>
        <v>1313.9870984300001</v>
      </c>
      <c r="H18" s="24">
        <f t="shared" si="3"/>
        <v>1371.9958224974</v>
      </c>
    </row>
    <row r="21" spans="2:8" x14ac:dyDescent="0.25">
      <c r="B21" s="32" t="s">
        <v>89</v>
      </c>
      <c r="C21" s="33"/>
      <c r="D21" s="33"/>
      <c r="E21" s="33"/>
      <c r="F21" s="33"/>
      <c r="G21" s="33"/>
      <c r="H21" s="33"/>
    </row>
    <row r="22" spans="2:8" x14ac:dyDescent="0.25">
      <c r="B22" s="33"/>
      <c r="C22" s="33"/>
      <c r="D22" s="33"/>
      <c r="E22" s="33"/>
      <c r="F22" s="33"/>
      <c r="G22" s="33"/>
      <c r="H22" s="33"/>
    </row>
    <row r="23" spans="2:8" x14ac:dyDescent="0.25">
      <c r="B23" s="33"/>
      <c r="C23" s="33"/>
      <c r="D23" s="33"/>
      <c r="E23" s="33"/>
      <c r="F23" s="33"/>
      <c r="G23" s="33"/>
      <c r="H23" s="33"/>
    </row>
  </sheetData>
  <mergeCells count="1">
    <mergeCell ref="B21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4"/>
  <sheetViews>
    <sheetView showGridLines="0" workbookViewId="0"/>
  </sheetViews>
  <sheetFormatPr defaultRowHeight="15" x14ac:dyDescent="0.25"/>
  <cols>
    <col min="1" max="1" width="3" customWidth="1"/>
    <col min="2" max="2" width="44" customWidth="1"/>
    <col min="3" max="6" width="15" customWidth="1"/>
    <col min="7" max="7" width="60" customWidth="1"/>
  </cols>
  <sheetData>
    <row r="2" spans="2:7" ht="16.5" x14ac:dyDescent="0.25">
      <c r="B2" s="1" t="s">
        <v>90</v>
      </c>
    </row>
    <row r="4" spans="2:7" x14ac:dyDescent="0.25">
      <c r="B4" s="25" t="s">
        <v>91</v>
      </c>
      <c r="C4" s="25" t="s">
        <v>92</v>
      </c>
      <c r="D4" s="25" t="s">
        <v>93</v>
      </c>
      <c r="E4" s="25" t="s">
        <v>94</v>
      </c>
      <c r="F4" s="25" t="s">
        <v>95</v>
      </c>
    </row>
    <row r="5" spans="2:7" x14ac:dyDescent="0.25">
      <c r="B5" s="5" t="s">
        <v>96</v>
      </c>
      <c r="C5" s="6">
        <v>-25</v>
      </c>
      <c r="D5" s="6">
        <v>24</v>
      </c>
      <c r="E5" s="9">
        <f>C5*MAX(0,MIN(12,D5-12))/12</f>
        <v>-25</v>
      </c>
      <c r="G5" s="26" t="s">
        <v>97</v>
      </c>
    </row>
    <row r="6" spans="2:7" x14ac:dyDescent="0.25">
      <c r="B6" s="5" t="s">
        <v>98</v>
      </c>
      <c r="C6" s="6">
        <v>-15</v>
      </c>
      <c r="D6" s="6">
        <v>18</v>
      </c>
      <c r="E6" s="9">
        <f>C6*MAX(0,MIN(12,D6-12))/12</f>
        <v>-7.5</v>
      </c>
      <c r="G6" s="26" t="s">
        <v>99</v>
      </c>
    </row>
    <row r="7" spans="2:7" x14ac:dyDescent="0.25">
      <c r="B7" s="5" t="s">
        <v>100</v>
      </c>
      <c r="C7" s="6">
        <v>-10</v>
      </c>
      <c r="D7" s="6">
        <v>12</v>
      </c>
      <c r="E7" s="9">
        <f>C7*MAX(0,MIN(12,D7-12))/12</f>
        <v>0</v>
      </c>
      <c r="G7" s="26" t="s">
        <v>101</v>
      </c>
    </row>
    <row r="8" spans="2:7" x14ac:dyDescent="0.25">
      <c r="B8" s="5" t="s">
        <v>102</v>
      </c>
      <c r="C8" s="6">
        <v>-6</v>
      </c>
      <c r="D8" s="6">
        <v>24</v>
      </c>
      <c r="E8" s="9">
        <f>C8*MAX(0,MIN(12,D8-12))/12</f>
        <v>-6</v>
      </c>
      <c r="G8" s="26" t="s">
        <v>103</v>
      </c>
    </row>
    <row r="9" spans="2:7" x14ac:dyDescent="0.25">
      <c r="B9" s="5" t="s">
        <v>104</v>
      </c>
      <c r="C9" s="6">
        <v>-4</v>
      </c>
      <c r="D9" s="6">
        <v>12</v>
      </c>
      <c r="E9" s="9">
        <f>C9*MAX(0,MIN(12,D9-12))/12</f>
        <v>0</v>
      </c>
      <c r="G9" s="26" t="s">
        <v>105</v>
      </c>
    </row>
    <row r="10" spans="2:7" x14ac:dyDescent="0.25">
      <c r="B10" s="3" t="s">
        <v>106</v>
      </c>
      <c r="C10" s="23">
        <f>SUM(C5:C9)</f>
        <v>-60</v>
      </c>
      <c r="E10" s="23">
        <f>SUM(E5:E9)</f>
        <v>-38.5</v>
      </c>
    </row>
    <row r="12" spans="2:7" x14ac:dyDescent="0.25">
      <c r="B12" s="34" t="s">
        <v>107</v>
      </c>
      <c r="C12" s="33"/>
      <c r="D12" s="33"/>
      <c r="E12" s="33"/>
      <c r="F12" s="33"/>
      <c r="G12" s="33"/>
    </row>
    <row r="13" spans="2:7" x14ac:dyDescent="0.25">
      <c r="B13" s="33"/>
      <c r="C13" s="33"/>
      <c r="D13" s="33"/>
      <c r="E13" s="33"/>
      <c r="F13" s="33"/>
      <c r="G13" s="33"/>
    </row>
    <row r="14" spans="2:7" x14ac:dyDescent="0.25">
      <c r="B14" s="18" t="s">
        <v>108</v>
      </c>
      <c r="C14" s="9">
        <f>C10-Hypothèses!C27</f>
        <v>0</v>
      </c>
    </row>
  </sheetData>
  <mergeCells count="1">
    <mergeCell ref="B12:G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36"/>
  <sheetViews>
    <sheetView showGridLines="0" workbookViewId="0"/>
  </sheetViews>
  <sheetFormatPr defaultRowHeight="15" x14ac:dyDescent="0.25"/>
  <cols>
    <col min="1" max="1" width="3" customWidth="1"/>
    <col min="2" max="2" width="52" customWidth="1"/>
    <col min="3" max="3" width="15" customWidth="1"/>
    <col min="4" max="4" width="70" customWidth="1"/>
  </cols>
  <sheetData>
    <row r="2" spans="2:3" ht="16.5" x14ac:dyDescent="0.25">
      <c r="B2" s="1" t="s">
        <v>109</v>
      </c>
    </row>
    <row r="4" spans="2:3" x14ac:dyDescent="0.25">
      <c r="B4" s="2" t="s">
        <v>110</v>
      </c>
    </row>
    <row r="5" spans="2:3" x14ac:dyDescent="0.25">
      <c r="B5" s="5" t="s">
        <v>111</v>
      </c>
      <c r="C5" s="14">
        <f>Hypothèses!C8</f>
        <v>16000</v>
      </c>
    </row>
    <row r="6" spans="2:3" x14ac:dyDescent="0.25">
      <c r="B6" s="5" t="s">
        <v>112</v>
      </c>
      <c r="C6" s="14">
        <f>'P&amp;L Carve-out'!C13</f>
        <v>1103</v>
      </c>
    </row>
    <row r="7" spans="2:3" x14ac:dyDescent="0.25">
      <c r="B7" s="5" t="s">
        <v>113</v>
      </c>
      <c r="C7" s="10">
        <f>C5/C6</f>
        <v>14.505893019038984</v>
      </c>
    </row>
    <row r="8" spans="2:3" x14ac:dyDescent="0.25">
      <c r="B8" s="5" t="s">
        <v>114</v>
      </c>
      <c r="C8" s="9">
        <f>Hypothèses!C33*C6</f>
        <v>4412</v>
      </c>
    </row>
    <row r="9" spans="2:3" x14ac:dyDescent="0.25">
      <c r="B9" s="5" t="s">
        <v>115</v>
      </c>
      <c r="C9" s="23">
        <f>C5-C8</f>
        <v>11588</v>
      </c>
    </row>
    <row r="10" spans="2:3" x14ac:dyDescent="0.25">
      <c r="B10" s="5" t="s">
        <v>116</v>
      </c>
      <c r="C10" s="9">
        <f>C9*Hypothèses!C10</f>
        <v>5794</v>
      </c>
    </row>
    <row r="11" spans="2:3" x14ac:dyDescent="0.25">
      <c r="B11" s="5" t="s">
        <v>117</v>
      </c>
      <c r="C11" s="9">
        <f>C9*Hypothèses!C11</f>
        <v>5585.4160000000002</v>
      </c>
    </row>
    <row r="12" spans="2:3" x14ac:dyDescent="0.25">
      <c r="B12" s="5" t="s">
        <v>118</v>
      </c>
      <c r="C12" s="9">
        <f>C9*Hypothèses!C12</f>
        <v>208.58399999999997</v>
      </c>
    </row>
    <row r="14" spans="2:3" x14ac:dyDescent="0.25">
      <c r="B14" s="2" t="s">
        <v>119</v>
      </c>
    </row>
    <row r="15" spans="2:3" x14ac:dyDescent="0.25">
      <c r="B15" s="5" t="s">
        <v>120</v>
      </c>
      <c r="C15" s="14">
        <f>'P&amp;L Carve-out'!H13</f>
        <v>1371.9958224974</v>
      </c>
    </row>
    <row r="16" spans="2:3" x14ac:dyDescent="0.25">
      <c r="B16" s="5" t="s">
        <v>121</v>
      </c>
      <c r="C16" s="27">
        <f>Hypothèses!C35</f>
        <v>14</v>
      </c>
    </row>
    <row r="17" spans="2:5" x14ac:dyDescent="0.25">
      <c r="B17" s="5" t="s">
        <v>122</v>
      </c>
      <c r="C17" s="9">
        <f>C15*C16</f>
        <v>19207.941514963601</v>
      </c>
    </row>
    <row r="18" spans="2:5" x14ac:dyDescent="0.25">
      <c r="B18" s="5" t="s">
        <v>123</v>
      </c>
      <c r="C18" s="9">
        <f>MAX(C8-(SUM('P&amp;L Carve-out'!D18:H18)*Hypothèses!C36-5*Hypothèses!C34*C8),0)</f>
        <v>2901.53176638267</v>
      </c>
      <c r="D18" s="7" t="s">
        <v>124</v>
      </c>
    </row>
    <row r="19" spans="2:5" x14ac:dyDescent="0.25">
      <c r="B19" s="5" t="s">
        <v>125</v>
      </c>
      <c r="C19" s="23">
        <f>C17-C18</f>
        <v>16306.409748580931</v>
      </c>
    </row>
    <row r="21" spans="2:5" x14ac:dyDescent="0.25">
      <c r="B21" s="2" t="s">
        <v>126</v>
      </c>
    </row>
    <row r="22" spans="2:5" x14ac:dyDescent="0.25">
      <c r="B22" s="5" t="s">
        <v>127</v>
      </c>
      <c r="C22" s="28">
        <f>(C19*Hypothèses!C10)/C10</f>
        <v>1.4071806824802322</v>
      </c>
    </row>
    <row r="23" spans="2:5" x14ac:dyDescent="0.25">
      <c r="B23" s="5" t="s">
        <v>128</v>
      </c>
      <c r="C23" s="29">
        <f>(C22)^(1/4.7)-1</f>
        <v>7.5384570493124414E-2</v>
      </c>
    </row>
    <row r="25" spans="2:5" x14ac:dyDescent="0.25">
      <c r="B25" s="32" t="s">
        <v>129</v>
      </c>
      <c r="C25" s="33"/>
      <c r="D25" s="33"/>
    </row>
    <row r="26" spans="2:5" x14ac:dyDescent="0.25">
      <c r="B26" s="33"/>
      <c r="C26" s="33"/>
      <c r="D26" s="33"/>
    </row>
    <row r="27" spans="2:5" x14ac:dyDescent="0.25">
      <c r="B27" s="33"/>
      <c r="C27" s="33"/>
      <c r="D27" s="33"/>
    </row>
    <row r="29" spans="2:5" x14ac:dyDescent="0.25">
      <c r="B29" s="2" t="s">
        <v>130</v>
      </c>
    </row>
    <row r="30" spans="2:5" x14ac:dyDescent="0.25">
      <c r="B30" s="25" t="s">
        <v>131</v>
      </c>
      <c r="C30" s="17" t="s">
        <v>132</v>
      </c>
      <c r="D30" s="17" t="s">
        <v>133</v>
      </c>
      <c r="E30" s="17" t="s">
        <v>134</v>
      </c>
    </row>
    <row r="31" spans="2:5" x14ac:dyDescent="0.25">
      <c r="B31" s="3" t="s">
        <v>135</v>
      </c>
      <c r="C31" s="30">
        <f>((($C$15*10-MAX($C$8-(SUM('P&amp;L Carve-out'!$D$18:$H$18)*0.35-5*Hypothèses!$C$34*$C$8),0))*Hypothèses!$C$10)/$C$10)^(1/4.7)-1</f>
        <v>-2.6513352508546029E-2</v>
      </c>
      <c r="D31" s="30">
        <f>((($C$15*10-MAX($C$8-(SUM('P&amp;L Carve-out'!$D$18:$H$18)*0.45-5*Hypothèses!$C$34*$C$8),0))*Hypothèses!$C$10)/$C$10)^(1/4.7)-1</f>
        <v>-1.4514746702041115E-2</v>
      </c>
      <c r="E31" s="30">
        <f>((($C$15*10-MAX($C$8-(SUM('P&amp;L Carve-out'!$D$18:$H$18)*0.6-5*Hypothèses!$C$34*$C$8),0))*Hypothèses!$C$10)/$C$10)^(1/4.7)-1</f>
        <v>2.5283608064714524E-3</v>
      </c>
    </row>
    <row r="32" spans="2:5" x14ac:dyDescent="0.25">
      <c r="B32" s="3" t="s">
        <v>136</v>
      </c>
      <c r="C32" s="30">
        <f>((($C$15*12-MAX($C$8-(SUM('P&amp;L Carve-out'!$D$18:$H$18)*0.35-5*Hypothèses!$C$34*$C$8),0))*Hypothèses!$C$10)/$C$10)^(1/4.7)-1</f>
        <v>2.4045524343373703E-2</v>
      </c>
      <c r="D32" s="30">
        <f>((($C$15*12-MAX($C$8-(SUM('P&amp;L Carve-out'!$D$18:$H$18)*0.45-5*Hypothèses!$C$34*$C$8),0))*Hypothèses!$C$10)/$C$10)^(1/4.7)-1</f>
        <v>3.4041595208060826E-2</v>
      </c>
      <c r="E32" s="30">
        <f>((($C$15*12-MAX($C$8-(SUM('P&amp;L Carve-out'!$D$18:$H$18)*0.6-5*Hypothèses!$C$34*$C$8),0))*Hypothèses!$C$10)/$C$10)^(1/4.7)-1</f>
        <v>4.8396567358030218E-2</v>
      </c>
    </row>
    <row r="33" spans="2:6" x14ac:dyDescent="0.25">
      <c r="B33" s="3" t="s">
        <v>137</v>
      </c>
      <c r="C33" s="30">
        <f>((($C$15*14-MAX($C$8-(SUM('P&amp;L Carve-out'!$D$18:$H$18)*0.35-5*Hypothèses!$C$34*$C$8),0))*Hypothèses!$C$10)/$C$10)^(1/4.7)-1</f>
        <v>6.6764582647067305E-2</v>
      </c>
      <c r="D33" s="31">
        <f>((($C$15*14-MAX($C$8-(SUM('P&amp;L Carve-out'!$D$18:$H$18)*0.45-5*Hypothèses!$C$34*$C$8),0))*Hypothèses!$C$10)/$C$10)^(1/4.7)-1</f>
        <v>7.5384570493124414E-2</v>
      </c>
      <c r="E33" s="30">
        <f>((($C$15*14-MAX($C$8-(SUM('P&amp;L Carve-out'!$D$18:$H$18)*0.6-5*Hypothèses!$C$34*$C$8),0))*Hypothèses!$C$10)/$C$10)^(1/4.7)-1</f>
        <v>8.785390385660552E-2</v>
      </c>
    </row>
    <row r="35" spans="2:6" x14ac:dyDescent="0.25">
      <c r="B35" s="35" t="s">
        <v>138</v>
      </c>
      <c r="C35" s="33"/>
      <c r="D35" s="33"/>
      <c r="E35" s="33"/>
      <c r="F35" s="33"/>
    </row>
    <row r="36" spans="2:6" x14ac:dyDescent="0.25">
      <c r="B36" s="33"/>
      <c r="C36" s="33"/>
      <c r="D36" s="33"/>
      <c r="E36" s="33"/>
      <c r="F36" s="33"/>
    </row>
  </sheetData>
  <mergeCells count="2">
    <mergeCell ref="B35:F36"/>
    <mergeCell ref="B25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Lisez-moi</vt:lpstr>
      <vt:lpstr>Hypothèses</vt:lpstr>
      <vt:lpstr>P&amp;L Carve-out</vt:lpstr>
      <vt:lpstr>TSA</vt:lpstr>
      <vt:lpstr>Valo &amp; Retours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Projet Hermès — Modèle de carve-out Opella (document de démonstration)</dc:title>
  <dc:creator>Hamza Ben Chaouch</dc:creator>
  <cp:lastModifiedBy>Hamza Ben Chaouch</cp:lastModifiedBy>
  <dcterms:created xsi:type="dcterms:W3CDTF">2026-07-16T23:14:36Z</dcterms:created>
  <dcterms:modified xsi:type="dcterms:W3CDTF">2026-07-16T23:15:03Z</dcterms:modified>
</cp:coreProperties>
</file>