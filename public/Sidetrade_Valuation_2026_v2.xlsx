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bah\Downloads\Portefolio\Portefolio\Sidetrade\"/>
    </mc:Choice>
  </mc:AlternateContent>
  <xr:revisionPtr revIDLastSave="0" documentId="13_ncr:1_{75E4E93E-324A-4B25-AC5D-2207C280626E}" xr6:coauthVersionLast="47" xr6:coauthVersionMax="47" xr10:uidLastSave="{00000000-0000-0000-0000-000000000000}"/>
  <bookViews>
    <workbookView xWindow="38280" yWindow="-120" windowWidth="38640" windowHeight="21840" tabRatio="500" activeTab="8" xr2:uid="{00000000-000D-0000-FFFF-FFFF00000000}"/>
  </bookViews>
  <sheets>
    <sheet name="Cover" sheetId="1" r:id="rId1"/>
    <sheet name="Inputs" sheetId="2" r:id="rId2"/>
    <sheet name="FY25_base" sheetId="3" r:id="rId3"/>
    <sheet name="DCF" sheetId="4" r:id="rId4"/>
    <sheet name="Sensitivity" sheetId="5" r:id="rId5"/>
    <sheet name="Margin_path" sheetId="6" r:id="rId6"/>
    <sheet name="Trading_comps" sheetId="7" r:id="rId7"/>
    <sheet name="Transaction_comps" sheetId="8" r:id="rId8"/>
    <sheet name="LBO_old" sheetId="9" r:id="rId9"/>
    <sheet name="LBO_full" sheetId="10" r:id="rId10"/>
    <sheet name="Football_field" sheetId="11" r:id="rId11"/>
    <sheet name="Equity_bridge" sheetId="12" r:id="rId12"/>
    <sheet name="Caveats" sheetId="13" r:id="rId13"/>
    <sheet name="Checks" sheetId="14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4" l="1"/>
  <c r="D5" i="14" s="1"/>
  <c r="B4" i="14"/>
  <c r="D4" i="14" s="1"/>
  <c r="D18" i="12"/>
  <c r="D19" i="12" s="1"/>
  <c r="C18" i="12"/>
  <c r="C19" i="12" s="1"/>
  <c r="C8" i="1" s="1"/>
  <c r="B18" i="12"/>
  <c r="B19" i="12" s="1"/>
  <c r="D8" i="11"/>
  <c r="C8" i="11"/>
  <c r="F8" i="11" s="1"/>
  <c r="B8" i="11"/>
  <c r="B19" i="11" s="1"/>
  <c r="G167" i="10"/>
  <c r="F167" i="10"/>
  <c r="E167" i="10"/>
  <c r="D167" i="10"/>
  <c r="C167" i="10"/>
  <c r="C158" i="10"/>
  <c r="G129" i="10"/>
  <c r="F129" i="10"/>
  <c r="E129" i="10"/>
  <c r="D129" i="10"/>
  <c r="C129" i="10"/>
  <c r="G91" i="10"/>
  <c r="F91" i="10"/>
  <c r="E91" i="10"/>
  <c r="D91" i="10"/>
  <c r="C91" i="10"/>
  <c r="C86" i="10"/>
  <c r="D63" i="10"/>
  <c r="D61" i="10"/>
  <c r="C61" i="10"/>
  <c r="B61" i="10"/>
  <c r="D59" i="10"/>
  <c r="C59" i="10"/>
  <c r="B59" i="10"/>
  <c r="D58" i="10"/>
  <c r="C58" i="10"/>
  <c r="B58" i="10"/>
  <c r="D57" i="10"/>
  <c r="C57" i="10"/>
  <c r="B57" i="10"/>
  <c r="B47" i="10"/>
  <c r="B40" i="10"/>
  <c r="B27" i="10"/>
  <c r="C127" i="10" s="1"/>
  <c r="C128" i="10" s="1"/>
  <c r="C130" i="10" s="1"/>
  <c r="B25" i="10"/>
  <c r="D6" i="10" s="1"/>
  <c r="D10" i="10"/>
  <c r="C10" i="10"/>
  <c r="B10" i="10"/>
  <c r="D7" i="10"/>
  <c r="C7" i="10"/>
  <c r="B7" i="10"/>
  <c r="C6" i="10"/>
  <c r="G21" i="8"/>
  <c r="F20" i="8"/>
  <c r="F19" i="8"/>
  <c r="E25" i="8" s="1"/>
  <c r="E27" i="8" s="1"/>
  <c r="I9" i="8"/>
  <c r="H9" i="8"/>
  <c r="I8" i="8"/>
  <c r="H8" i="8"/>
  <c r="I7" i="8"/>
  <c r="H7" i="8"/>
  <c r="I6" i="8"/>
  <c r="H6" i="8"/>
  <c r="H5" i="8"/>
  <c r="G9" i="7"/>
  <c r="H8" i="7"/>
  <c r="G8" i="7"/>
  <c r="H7" i="7"/>
  <c r="G7" i="7"/>
  <c r="G14" i="7" s="1"/>
  <c r="G21" i="7" s="1"/>
  <c r="G22" i="7" s="1"/>
  <c r="H6" i="7"/>
  <c r="H12" i="7" s="1"/>
  <c r="F23" i="7" s="1"/>
  <c r="G6" i="7"/>
  <c r="H5" i="7"/>
  <c r="G5" i="7"/>
  <c r="B37" i="6"/>
  <c r="D6" i="6"/>
  <c r="C6" i="6"/>
  <c r="B6" i="6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C20" i="4"/>
  <c r="C125" i="10" s="1"/>
  <c r="D19" i="4"/>
  <c r="C162" i="10" s="1"/>
  <c r="C19" i="4"/>
  <c r="C124" i="10" s="1"/>
  <c r="B19" i="4"/>
  <c r="D13" i="4"/>
  <c r="C160" i="10" s="1"/>
  <c r="C13" i="4"/>
  <c r="C122" i="10" s="1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D7" i="4"/>
  <c r="D20" i="4" s="1"/>
  <c r="C163" i="10" s="1"/>
  <c r="C7" i="4"/>
  <c r="E17" i="7" s="1"/>
  <c r="B7" i="4"/>
  <c r="C82" i="10" s="1"/>
  <c r="B63" i="3"/>
  <c r="B62" i="3"/>
  <c r="B60" i="3"/>
  <c r="B59" i="3"/>
  <c r="B61" i="3" s="1"/>
  <c r="B65" i="3" s="1"/>
  <c r="B53" i="3"/>
  <c r="B54" i="3" s="1"/>
  <c r="B56" i="3" s="1"/>
  <c r="B32" i="1" s="1"/>
  <c r="B48" i="3"/>
  <c r="B47" i="3"/>
  <c r="B46" i="3"/>
  <c r="B31" i="3"/>
  <c r="B33" i="3" s="1"/>
  <c r="C13" i="3"/>
  <c r="C15" i="3" s="1"/>
  <c r="C17" i="3" s="1"/>
  <c r="C20" i="3" s="1"/>
  <c r="C23" i="3" s="1"/>
  <c r="C24" i="3" s="1"/>
  <c r="B13" i="3"/>
  <c r="B15" i="3" s="1"/>
  <c r="B17" i="3" s="1"/>
  <c r="B20" i="3" s="1"/>
  <c r="B23" i="3" s="1"/>
  <c r="B24" i="3" s="1"/>
  <c r="C55" i="2"/>
  <c r="C53" i="2"/>
  <c r="C50" i="2"/>
  <c r="C54" i="2" s="1"/>
  <c r="C56" i="2" s="1"/>
  <c r="B16" i="14" s="1"/>
  <c r="D16" i="14" s="1"/>
  <c r="D43" i="2"/>
  <c r="C43" i="2"/>
  <c r="D42" i="2"/>
  <c r="C42" i="2"/>
  <c r="D11" i="2"/>
  <c r="D21" i="2" s="1"/>
  <c r="C11" i="2"/>
  <c r="C21" i="2" s="1"/>
  <c r="B11" i="2"/>
  <c r="B21" i="2" s="1"/>
  <c r="B30" i="1"/>
  <c r="B29" i="1"/>
  <c r="B28" i="1"/>
  <c r="D19" i="1"/>
  <c r="C19" i="1"/>
  <c r="B19" i="1"/>
  <c r="B8" i="9"/>
  <c r="B6" i="9"/>
  <c r="B5" i="9"/>
  <c r="C26" i="2" l="1"/>
  <c r="L11" i="4" s="1"/>
  <c r="C27" i="2"/>
  <c r="O11" i="4" s="1"/>
  <c r="D5" i="6"/>
  <c r="C25" i="2"/>
  <c r="I11" i="4" s="1"/>
  <c r="C5" i="6"/>
  <c r="D9" i="6" s="1"/>
  <c r="C23" i="2"/>
  <c r="C11" i="4" s="1"/>
  <c r="C12" i="4" s="1"/>
  <c r="D26" i="2"/>
  <c r="M11" i="4" s="1"/>
  <c r="D24" i="2"/>
  <c r="G11" i="4" s="1"/>
  <c r="D25" i="2"/>
  <c r="J11" i="4" s="1"/>
  <c r="D23" i="2"/>
  <c r="D11" i="4" s="1"/>
  <c r="D12" i="4" s="1"/>
  <c r="D14" i="4" s="1"/>
  <c r="G13" i="7"/>
  <c r="E21" i="7" s="1"/>
  <c r="E22" i="7" s="1"/>
  <c r="H13" i="7"/>
  <c r="E23" i="7" s="1"/>
  <c r="E24" i="7" s="1"/>
  <c r="E26" i="7" s="1"/>
  <c r="F25" i="8"/>
  <c r="F27" i="8" s="1"/>
  <c r="C12" i="11" s="1"/>
  <c r="C120" i="10"/>
  <c r="B20" i="4"/>
  <c r="C87" i="10" s="1"/>
  <c r="E7" i="4"/>
  <c r="G25" i="8"/>
  <c r="G27" i="8" s="1"/>
  <c r="D7" i="11" s="1"/>
  <c r="F7" i="4"/>
  <c r="H14" i="7"/>
  <c r="G23" i="7" s="1"/>
  <c r="G24" i="7" s="1"/>
  <c r="G26" i="7" s="1"/>
  <c r="C19" i="11"/>
  <c r="C11" i="9"/>
  <c r="G12" i="7"/>
  <c r="F21" i="7" s="1"/>
  <c r="F22" i="7" s="1"/>
  <c r="B8" i="1"/>
  <c r="B49" i="3"/>
  <c r="D6" i="1" s="1"/>
  <c r="G7" i="4"/>
  <c r="G20" i="4" s="1"/>
  <c r="D163" i="10" s="1"/>
  <c r="B13" i="4"/>
  <c r="C84" i="10" s="1"/>
  <c r="I14" i="8"/>
  <c r="D12" i="12"/>
  <c r="C12" i="12"/>
  <c r="C29" i="12" s="1"/>
  <c r="B12" i="12"/>
  <c r="D14" i="11"/>
  <c r="B42" i="10"/>
  <c r="D9" i="12"/>
  <c r="C9" i="12"/>
  <c r="B9" i="12"/>
  <c r="B24" i="2"/>
  <c r="E11" i="4" s="1"/>
  <c r="B23" i="2"/>
  <c r="B11" i="4" s="1"/>
  <c r="B12" i="4" s="1"/>
  <c r="B27" i="2"/>
  <c r="N11" i="4" s="1"/>
  <c r="B26" i="2"/>
  <c r="K11" i="4" s="1"/>
  <c r="D11" i="12"/>
  <c r="C11" i="12"/>
  <c r="B11" i="12"/>
  <c r="C159" i="10"/>
  <c r="C169" i="10" s="1"/>
  <c r="B33" i="1"/>
  <c r="C31" i="12"/>
  <c r="D8" i="1"/>
  <c r="C14" i="4"/>
  <c r="C121" i="10"/>
  <c r="C131" i="10" s="1"/>
  <c r="C132" i="10" s="1"/>
  <c r="C133" i="10" s="1"/>
  <c r="C12" i="9"/>
  <c r="F18" i="7"/>
  <c r="F24" i="7" s="1"/>
  <c r="F26" i="7" s="1"/>
  <c r="B18" i="1"/>
  <c r="B7" i="11"/>
  <c r="B43" i="10"/>
  <c r="D10" i="12"/>
  <c r="C10" i="12"/>
  <c r="B10" i="12"/>
  <c r="B25" i="2"/>
  <c r="H11" i="4" s="1"/>
  <c r="C17" i="6"/>
  <c r="C22" i="6" s="1"/>
  <c r="C29" i="6" s="1"/>
  <c r="B17" i="6"/>
  <c r="B22" i="6" s="1"/>
  <c r="B29" i="6" s="1"/>
  <c r="F13" i="4"/>
  <c r="D122" i="10" s="1"/>
  <c r="D11" i="9"/>
  <c r="D120" i="10"/>
  <c r="D17" i="6"/>
  <c r="D22" i="6" s="1"/>
  <c r="D29" i="6" s="1"/>
  <c r="F19" i="4"/>
  <c r="D124" i="10" s="1"/>
  <c r="H14" i="8"/>
  <c r="H13" i="8"/>
  <c r="H12" i="8"/>
  <c r="C139" i="10"/>
  <c r="B6" i="10"/>
  <c r="B60" i="10"/>
  <c r="C89" i="10"/>
  <c r="C165" i="10"/>
  <c r="C177" i="10" s="1"/>
  <c r="C60" i="10"/>
  <c r="D27" i="2"/>
  <c r="P11" i="4" s="1"/>
  <c r="C9" i="6"/>
  <c r="B16" i="6"/>
  <c r="B21" i="6" s="1"/>
  <c r="B28" i="6" s="1"/>
  <c r="D60" i="10"/>
  <c r="I12" i="8"/>
  <c r="B71" i="10"/>
  <c r="B5" i="6"/>
  <c r="C24" i="2"/>
  <c r="F11" i="4" s="1"/>
  <c r="F12" i="4" s="1"/>
  <c r="I13" i="8"/>
  <c r="B63" i="10"/>
  <c r="D18" i="1"/>
  <c r="E12" i="4"/>
  <c r="C63" i="10"/>
  <c r="E8" i="11"/>
  <c r="B17" i="14"/>
  <c r="D17" i="14" s="1"/>
  <c r="H7" i="4" l="1"/>
  <c r="E19" i="4"/>
  <c r="D86" i="10" s="1"/>
  <c r="E13" i="4"/>
  <c r="D84" i="10" s="1"/>
  <c r="H12" i="4"/>
  <c r="C18" i="1"/>
  <c r="C7" i="11"/>
  <c r="B41" i="10"/>
  <c r="D55" i="10" s="1"/>
  <c r="C14" i="11"/>
  <c r="F14" i="11" s="1"/>
  <c r="D16" i="6"/>
  <c r="D21" i="6" s="1"/>
  <c r="D28" i="6" s="1"/>
  <c r="B15" i="14"/>
  <c r="D15" i="14" s="1"/>
  <c r="B6" i="1"/>
  <c r="C23" i="12"/>
  <c r="C24" i="12" s="1"/>
  <c r="C25" i="12" s="1"/>
  <c r="F20" i="4"/>
  <c r="D125" i="10" s="1"/>
  <c r="I7" i="4"/>
  <c r="G12" i="4"/>
  <c r="G14" i="4" s="1"/>
  <c r="C6" i="1"/>
  <c r="D82" i="10"/>
  <c r="D158" i="10"/>
  <c r="B12" i="1"/>
  <c r="C10" i="6"/>
  <c r="D12" i="6"/>
  <c r="B13" i="6"/>
  <c r="C13" i="6"/>
  <c r="D10" i="6"/>
  <c r="B12" i="6"/>
  <c r="C11" i="6"/>
  <c r="B11" i="6"/>
  <c r="D13" i="6"/>
  <c r="D11" i="6"/>
  <c r="G19" i="4"/>
  <c r="D162" i="10" s="1"/>
  <c r="B14" i="11"/>
  <c r="B9" i="6"/>
  <c r="B10" i="6"/>
  <c r="G13" i="4"/>
  <c r="D160" i="10" s="1"/>
  <c r="E20" i="4"/>
  <c r="D87" i="10" s="1"/>
  <c r="C12" i="6"/>
  <c r="J7" i="4"/>
  <c r="J12" i="4" s="1"/>
  <c r="C16" i="6"/>
  <c r="C21" i="6" s="1"/>
  <c r="C28" i="6" s="1"/>
  <c r="E83" i="10"/>
  <c r="E93" i="10" s="1"/>
  <c r="D6" i="11"/>
  <c r="D17" i="1"/>
  <c r="D13" i="11"/>
  <c r="B17" i="1"/>
  <c r="B6" i="11"/>
  <c r="B14" i="14"/>
  <c r="D14" i="14" s="1"/>
  <c r="C17" i="1"/>
  <c r="C6" i="11"/>
  <c r="D121" i="10"/>
  <c r="D131" i="10" s="1"/>
  <c r="D12" i="9"/>
  <c r="F14" i="4"/>
  <c r="E14" i="11"/>
  <c r="C161" i="10"/>
  <c r="D17" i="4"/>
  <c r="D22" i="4" s="1"/>
  <c r="D18" i="4"/>
  <c r="D21" i="4" s="1"/>
  <c r="D27" i="4" s="1"/>
  <c r="J19" i="4"/>
  <c r="E162" i="10" s="1"/>
  <c r="J20" i="4"/>
  <c r="E163" i="10" s="1"/>
  <c r="J13" i="4"/>
  <c r="E160" i="10" s="1"/>
  <c r="E158" i="10"/>
  <c r="M7" i="4"/>
  <c r="F7" i="11"/>
  <c r="E7" i="11"/>
  <c r="C18" i="11"/>
  <c r="B18" i="11"/>
  <c r="D56" i="10"/>
  <c r="C56" i="10"/>
  <c r="B56" i="10"/>
  <c r="C18" i="4"/>
  <c r="C21" i="4" s="1"/>
  <c r="C17" i="4"/>
  <c r="C22" i="4" s="1"/>
  <c r="C123" i="10"/>
  <c r="C166" i="10"/>
  <c r="C168" i="10" s="1"/>
  <c r="B14" i="4"/>
  <c r="C83" i="10"/>
  <c r="C93" i="10" s="1"/>
  <c r="D83" i="10"/>
  <c r="D93" i="10" s="1"/>
  <c r="E14" i="4"/>
  <c r="C90" i="10"/>
  <c r="C92" i="10" s="1"/>
  <c r="C101" i="10"/>
  <c r="D73" i="10"/>
  <c r="C73" i="10"/>
  <c r="B73" i="10"/>
  <c r="B72" i="10"/>
  <c r="D64" i="10"/>
  <c r="C64" i="10"/>
  <c r="B64" i="10"/>
  <c r="I20" i="4" l="1"/>
  <c r="E125" i="10" s="1"/>
  <c r="E11" i="9"/>
  <c r="I19" i="4"/>
  <c r="E124" i="10" s="1"/>
  <c r="I13" i="4"/>
  <c r="E122" i="10" s="1"/>
  <c r="E120" i="10"/>
  <c r="D18" i="6"/>
  <c r="D23" i="6" s="1"/>
  <c r="D30" i="6" s="1"/>
  <c r="B18" i="6"/>
  <c r="B23" i="6" s="1"/>
  <c r="B30" i="6" s="1"/>
  <c r="L7" i="4"/>
  <c r="C18" i="6"/>
  <c r="C23" i="6" s="1"/>
  <c r="C30" i="6" s="1"/>
  <c r="I12" i="4"/>
  <c r="D159" i="10"/>
  <c r="D169" i="10" s="1"/>
  <c r="B55" i="10"/>
  <c r="B65" i="10" s="1"/>
  <c r="C55" i="10"/>
  <c r="C62" i="10" s="1"/>
  <c r="H20" i="4"/>
  <c r="E87" i="10" s="1"/>
  <c r="E82" i="10"/>
  <c r="H19" i="4"/>
  <c r="E86" i="10" s="1"/>
  <c r="K7" i="4"/>
  <c r="H13" i="4"/>
  <c r="E84" i="10" s="1"/>
  <c r="C94" i="10"/>
  <c r="C95" i="10" s="1"/>
  <c r="M12" i="4"/>
  <c r="P7" i="4"/>
  <c r="M13" i="4"/>
  <c r="F160" i="10" s="1"/>
  <c r="F158" i="10"/>
  <c r="M19" i="4"/>
  <c r="F162" i="10" s="1"/>
  <c r="M20" i="4"/>
  <c r="F163" i="10" s="1"/>
  <c r="D62" i="10"/>
  <c r="D65" i="10"/>
  <c r="D74" i="10" s="1"/>
  <c r="D75" i="10" s="1"/>
  <c r="D85" i="10"/>
  <c r="E17" i="4"/>
  <c r="E22" i="4" s="1"/>
  <c r="E18" i="4"/>
  <c r="E21" i="4" s="1"/>
  <c r="E27" i="4" s="1"/>
  <c r="G17" i="4"/>
  <c r="G22" i="4" s="1"/>
  <c r="D161" i="10"/>
  <c r="G18" i="4"/>
  <c r="G21" i="4" s="1"/>
  <c r="G27" i="4" s="1"/>
  <c r="C27" i="4"/>
  <c r="C13" i="9"/>
  <c r="C134" i="10"/>
  <c r="C135" i="10" s="1"/>
  <c r="F6" i="11"/>
  <c r="E6" i="11"/>
  <c r="C17" i="11"/>
  <c r="B17" i="11"/>
  <c r="C170" i="10"/>
  <c r="C171" i="10" s="1"/>
  <c r="F17" i="4"/>
  <c r="F22" i="4" s="1"/>
  <c r="F18" i="4"/>
  <c r="F21" i="4" s="1"/>
  <c r="D123" i="10"/>
  <c r="C85" i="10"/>
  <c r="B17" i="4"/>
  <c r="B22" i="4" s="1"/>
  <c r="B18" i="4"/>
  <c r="B21" i="4" s="1"/>
  <c r="B27" i="4" s="1"/>
  <c r="E159" i="10"/>
  <c r="E169" i="10" s="1"/>
  <c r="J14" i="4"/>
  <c r="C65" i="10"/>
  <c r="L13" i="4" l="1"/>
  <c r="F122" i="10" s="1"/>
  <c r="F11" i="9"/>
  <c r="B19" i="6"/>
  <c r="B24" i="6" s="1"/>
  <c r="B31" i="6" s="1"/>
  <c r="L19" i="4"/>
  <c r="F124" i="10" s="1"/>
  <c r="C19" i="6"/>
  <c r="C24" i="6" s="1"/>
  <c r="C31" i="6" s="1"/>
  <c r="D19" i="6"/>
  <c r="D24" i="6" s="1"/>
  <c r="D31" i="6" s="1"/>
  <c r="O7" i="4"/>
  <c r="L12" i="4"/>
  <c r="L20" i="4"/>
  <c r="F125" i="10" s="1"/>
  <c r="F120" i="10"/>
  <c r="B62" i="10"/>
  <c r="B66" i="10" s="1"/>
  <c r="C111" i="10" s="1"/>
  <c r="E12" i="9"/>
  <c r="E121" i="10"/>
  <c r="E131" i="10" s="1"/>
  <c r="I14" i="4"/>
  <c r="K19" i="4"/>
  <c r="F86" i="10" s="1"/>
  <c r="K20" i="4"/>
  <c r="F87" i="10" s="1"/>
  <c r="N7" i="4"/>
  <c r="K12" i="4"/>
  <c r="K13" i="4"/>
  <c r="F84" i="10" s="1"/>
  <c r="F82" i="10"/>
  <c r="D66" i="10"/>
  <c r="C187" i="10" s="1"/>
  <c r="H14" i="4"/>
  <c r="C172" i="10"/>
  <c r="C173" i="10" s="1"/>
  <c r="C136" i="10"/>
  <c r="C137" i="10" s="1"/>
  <c r="C138" i="10" s="1"/>
  <c r="C140" i="10" s="1"/>
  <c r="G158" i="10"/>
  <c r="P19" i="4"/>
  <c r="G162" i="10" s="1"/>
  <c r="P13" i="4"/>
  <c r="G160" i="10" s="1"/>
  <c r="P20" i="4"/>
  <c r="G163" i="10" s="1"/>
  <c r="P12" i="4"/>
  <c r="B74" i="10"/>
  <c r="B75" i="10" s="1"/>
  <c r="D67" i="10"/>
  <c r="D68" i="10" s="1"/>
  <c r="C74" i="10"/>
  <c r="C75" i="10" s="1"/>
  <c r="C67" i="10"/>
  <c r="C68" i="10" s="1"/>
  <c r="C96" i="10"/>
  <c r="C97" i="10" s="1"/>
  <c r="M14" i="4"/>
  <c r="F159" i="10"/>
  <c r="F169" i="10" s="1"/>
  <c r="C14" i="9"/>
  <c r="D13" i="9"/>
  <c r="F27" i="4"/>
  <c r="C66" i="10"/>
  <c r="C149" i="10" s="1"/>
  <c r="B227" i="10" s="1"/>
  <c r="D227" i="10" s="1"/>
  <c r="B13" i="14" s="1"/>
  <c r="D13" i="14" s="1"/>
  <c r="J18" i="4"/>
  <c r="J21" i="4" s="1"/>
  <c r="J27" i="4" s="1"/>
  <c r="J17" i="4"/>
  <c r="J22" i="4" s="1"/>
  <c r="E161" i="10"/>
  <c r="B67" i="10" l="1"/>
  <c r="B68" i="10" s="1"/>
  <c r="G120" i="10"/>
  <c r="O12" i="4"/>
  <c r="G11" i="9"/>
  <c r="H11" i="9" s="1"/>
  <c r="D20" i="6"/>
  <c r="D25" i="6" s="1"/>
  <c r="O20" i="4"/>
  <c r="G125" i="10" s="1"/>
  <c r="C20" i="6"/>
  <c r="C25" i="6" s="1"/>
  <c r="O13" i="4"/>
  <c r="G122" i="10" s="1"/>
  <c r="O19" i="4"/>
  <c r="G124" i="10" s="1"/>
  <c r="B20" i="6"/>
  <c r="B25" i="6" s="1"/>
  <c r="K14" i="4"/>
  <c r="F83" i="10"/>
  <c r="F93" i="10" s="1"/>
  <c r="I17" i="4"/>
  <c r="I22" i="4" s="1"/>
  <c r="I18" i="4"/>
  <c r="I21" i="4" s="1"/>
  <c r="E123" i="10"/>
  <c r="F12" i="9"/>
  <c r="L14" i="4"/>
  <c r="F121" i="10"/>
  <c r="F131" i="10" s="1"/>
  <c r="E85" i="10"/>
  <c r="H18" i="4"/>
  <c r="H21" i="4" s="1"/>
  <c r="H27" i="4" s="1"/>
  <c r="H17" i="4"/>
  <c r="H22" i="4" s="1"/>
  <c r="G82" i="10"/>
  <c r="N20" i="4"/>
  <c r="G87" i="10" s="1"/>
  <c r="N13" i="4"/>
  <c r="G84" i="10" s="1"/>
  <c r="N12" i="4"/>
  <c r="N19" i="4"/>
  <c r="G86" i="10" s="1"/>
  <c r="C141" i="10"/>
  <c r="C142" i="10" s="1"/>
  <c r="C143" i="10" s="1"/>
  <c r="D127" i="10" s="1"/>
  <c r="C144" i="10"/>
  <c r="M18" i="4"/>
  <c r="M21" i="4" s="1"/>
  <c r="M27" i="4" s="1"/>
  <c r="M17" i="4"/>
  <c r="M22" i="4" s="1"/>
  <c r="F161" i="10"/>
  <c r="C174" i="10"/>
  <c r="C175" i="10" s="1"/>
  <c r="C176" i="10" s="1"/>
  <c r="C178" i="10" s="1"/>
  <c r="B8" i="14"/>
  <c r="D8" i="14" s="1"/>
  <c r="D13" i="10"/>
  <c r="B6" i="14"/>
  <c r="D6" i="14" s="1"/>
  <c r="B13" i="10"/>
  <c r="B7" i="14"/>
  <c r="D7" i="14" s="1"/>
  <c r="C13" i="10"/>
  <c r="C98" i="10"/>
  <c r="C99" i="10" s="1"/>
  <c r="C100" i="10" s="1"/>
  <c r="C102" i="10" s="1"/>
  <c r="S36" i="4"/>
  <c r="S37" i="4" s="1"/>
  <c r="G159" i="10"/>
  <c r="P14" i="4"/>
  <c r="D14" i="9"/>
  <c r="I27" i="4" l="1"/>
  <c r="E13" i="9"/>
  <c r="K17" i="4"/>
  <c r="K22" i="4" s="1"/>
  <c r="K18" i="4"/>
  <c r="K21" i="4" s="1"/>
  <c r="K27" i="4" s="1"/>
  <c r="F85" i="10"/>
  <c r="B34" i="6"/>
  <c r="B32" i="6"/>
  <c r="B33" i="6" s="1"/>
  <c r="B35" i="6" s="1"/>
  <c r="D34" i="6"/>
  <c r="D32" i="6"/>
  <c r="D33" i="6" s="1"/>
  <c r="D35" i="6" s="1"/>
  <c r="D36" i="6" s="1"/>
  <c r="Q36" i="4"/>
  <c r="Q37" i="4" s="1"/>
  <c r="N14" i="4"/>
  <c r="G83" i="10"/>
  <c r="C32" i="6"/>
  <c r="C33" i="6" s="1"/>
  <c r="C34" i="6"/>
  <c r="E14" i="9"/>
  <c r="R36" i="4"/>
  <c r="R37" i="4" s="1"/>
  <c r="B17" i="9"/>
  <c r="B18" i="9" s="1"/>
  <c r="G121" i="10"/>
  <c r="G12" i="9"/>
  <c r="H12" i="9" s="1"/>
  <c r="O14" i="4"/>
  <c r="F123" i="10"/>
  <c r="L18" i="4"/>
  <c r="L21" i="4" s="1"/>
  <c r="L17" i="4"/>
  <c r="L22" i="4" s="1"/>
  <c r="C179" i="10"/>
  <c r="C180" i="10" s="1"/>
  <c r="C181" i="10" s="1"/>
  <c r="D165" i="10" s="1"/>
  <c r="C182" i="10"/>
  <c r="C103" i="10"/>
  <c r="C104" i="10" s="1"/>
  <c r="C105" i="10" s="1"/>
  <c r="D89" i="10" s="1"/>
  <c r="P17" i="4"/>
  <c r="P22" i="4" s="1"/>
  <c r="P18" i="4"/>
  <c r="P21" i="4" s="1"/>
  <c r="G161" i="10"/>
  <c r="D128" i="10"/>
  <c r="D130" i="10" s="1"/>
  <c r="D139" i="10"/>
  <c r="C184" i="10"/>
  <c r="G169" i="10"/>
  <c r="G123" i="10" l="1"/>
  <c r="O18" i="4"/>
  <c r="O21" i="4" s="1"/>
  <c r="C16" i="5" s="1"/>
  <c r="O17" i="4"/>
  <c r="O22" i="4" s="1"/>
  <c r="F16" i="5"/>
  <c r="D20" i="5"/>
  <c r="G20" i="5"/>
  <c r="D6" i="5"/>
  <c r="G8" i="5"/>
  <c r="C35" i="6"/>
  <c r="C36" i="6" s="1"/>
  <c r="F13" i="9"/>
  <c r="L27" i="4"/>
  <c r="C20" i="5"/>
  <c r="C9" i="5"/>
  <c r="F7" i="5"/>
  <c r="C37" i="6"/>
  <c r="B36" i="6"/>
  <c r="C19" i="5"/>
  <c r="G6" i="5"/>
  <c r="E16" i="5"/>
  <c r="G93" i="10"/>
  <c r="C108" i="10"/>
  <c r="D37" i="6"/>
  <c r="C146" i="10"/>
  <c r="G131" i="10"/>
  <c r="D8" i="5"/>
  <c r="F8" i="5"/>
  <c r="F14" i="9"/>
  <c r="E17" i="5"/>
  <c r="G7" i="5"/>
  <c r="C106" i="10"/>
  <c r="G85" i="10"/>
  <c r="N18" i="4"/>
  <c r="N21" i="4" s="1"/>
  <c r="N17" i="4"/>
  <c r="N22" i="4" s="1"/>
  <c r="P27" i="4"/>
  <c r="S30" i="4" s="1"/>
  <c r="S31" i="4"/>
  <c r="S32" i="4" s="1"/>
  <c r="D166" i="10"/>
  <c r="D168" i="10" s="1"/>
  <c r="D177" i="10"/>
  <c r="D132" i="10"/>
  <c r="D134" i="10" s="1"/>
  <c r="D135" i="10" s="1"/>
  <c r="D90" i="10"/>
  <c r="D92" i="10" s="1"/>
  <c r="D101" i="10"/>
  <c r="E9" i="5" l="1"/>
  <c r="D9" i="5"/>
  <c r="E6" i="5"/>
  <c r="E20" i="5"/>
  <c r="F10" i="5"/>
  <c r="G16" i="5"/>
  <c r="C7" i="5"/>
  <c r="D18" i="5"/>
  <c r="E7" i="5"/>
  <c r="C8" i="5"/>
  <c r="C17" i="5"/>
  <c r="E8" i="5"/>
  <c r="G18" i="5"/>
  <c r="F17" i="5"/>
  <c r="O27" i="4"/>
  <c r="R30" i="4" s="1"/>
  <c r="R38" i="4" s="1"/>
  <c r="G13" i="9"/>
  <c r="H13" i="9" s="1"/>
  <c r="C6" i="5"/>
  <c r="D7" i="5"/>
  <c r="R31" i="4"/>
  <c r="R32" i="4" s="1"/>
  <c r="F20" i="5"/>
  <c r="F19" i="5"/>
  <c r="F9" i="5"/>
  <c r="D17" i="5"/>
  <c r="C18" i="5"/>
  <c r="D19" i="5"/>
  <c r="D10" i="5"/>
  <c r="F6" i="5"/>
  <c r="D16" i="5"/>
  <c r="Q31" i="4"/>
  <c r="Q32" i="4" s="1"/>
  <c r="N27" i="4"/>
  <c r="Q30" i="4" s="1"/>
  <c r="Q38" i="4" s="1"/>
  <c r="E18" i="5"/>
  <c r="G19" i="5"/>
  <c r="C10" i="5"/>
  <c r="G10" i="5"/>
  <c r="G9" i="5"/>
  <c r="E19" i="5"/>
  <c r="F18" i="5"/>
  <c r="E10" i="5"/>
  <c r="G17" i="5"/>
  <c r="D94" i="10"/>
  <c r="D96" i="10" s="1"/>
  <c r="D97" i="10" s="1"/>
  <c r="D95" i="10"/>
  <c r="D136" i="10"/>
  <c r="D137" i="10" s="1"/>
  <c r="D138" i="10" s="1"/>
  <c r="D140" i="10" s="1"/>
  <c r="D170" i="10"/>
  <c r="D172" i="10" s="1"/>
  <c r="D173" i="10" s="1"/>
  <c r="D171" i="10"/>
  <c r="D133" i="10"/>
  <c r="S40" i="4"/>
  <c r="S33" i="4"/>
  <c r="S38" i="4"/>
  <c r="G14" i="9" l="1"/>
  <c r="Q33" i="4"/>
  <c r="Q34" i="4" s="1"/>
  <c r="Q40" i="4"/>
  <c r="R40" i="4"/>
  <c r="R33" i="4"/>
  <c r="R41" i="4" s="1"/>
  <c r="R34" i="4"/>
  <c r="R42" i="4" s="1"/>
  <c r="B30" i="9"/>
  <c r="C22" i="9"/>
  <c r="C21" i="9"/>
  <c r="C23" i="9"/>
  <c r="D141" i="10"/>
  <c r="D142" i="10" s="1"/>
  <c r="D143" i="10" s="1"/>
  <c r="E127" i="10" s="1"/>
  <c r="D174" i="10"/>
  <c r="D175" i="10"/>
  <c r="D176" i="10" s="1"/>
  <c r="D178" i="10" s="1"/>
  <c r="C5" i="11"/>
  <c r="C6" i="12"/>
  <c r="C16" i="1"/>
  <c r="B27" i="9"/>
  <c r="B23" i="1"/>
  <c r="B22" i="1"/>
  <c r="R43" i="4"/>
  <c r="C11" i="11"/>
  <c r="D98" i="10"/>
  <c r="D99" i="10" s="1"/>
  <c r="D100" i="10" s="1"/>
  <c r="D102" i="10" s="1"/>
  <c r="S34" i="4"/>
  <c r="Q41" i="4" l="1"/>
  <c r="B16" i="1"/>
  <c r="B13" i="11"/>
  <c r="Q43" i="4"/>
  <c r="B5" i="11"/>
  <c r="C16" i="11" s="1"/>
  <c r="Q42" i="4"/>
  <c r="B6" i="12"/>
  <c r="B15" i="12" s="1"/>
  <c r="B20" i="12" s="1"/>
  <c r="D144" i="10"/>
  <c r="F23" i="9"/>
  <c r="E23" i="9"/>
  <c r="D23" i="9"/>
  <c r="D21" i="9"/>
  <c r="F21" i="9"/>
  <c r="E21" i="9"/>
  <c r="D22" i="9"/>
  <c r="F22" i="9"/>
  <c r="E22" i="9"/>
  <c r="B5" i="1"/>
  <c r="D5" i="1"/>
  <c r="C5" i="1"/>
  <c r="B24" i="1"/>
  <c r="B25" i="1"/>
  <c r="D103" i="10"/>
  <c r="D104" i="10" s="1"/>
  <c r="D105" i="10" s="1"/>
  <c r="E89" i="10" s="1"/>
  <c r="D106" i="10"/>
  <c r="D5" i="11"/>
  <c r="D6" i="12"/>
  <c r="D15" i="12" s="1"/>
  <c r="D20" i="12" s="1"/>
  <c r="D16" i="1"/>
  <c r="S43" i="4"/>
  <c r="S42" i="4"/>
  <c r="C28" i="12"/>
  <c r="C15" i="12"/>
  <c r="S41" i="4"/>
  <c r="D179" i="10"/>
  <c r="D180" i="10" s="1"/>
  <c r="D181" i="10" s="1"/>
  <c r="E165" i="10" s="1"/>
  <c r="B28" i="9"/>
  <c r="B29" i="9"/>
  <c r="B31" i="9" s="1"/>
  <c r="E5" i="11"/>
  <c r="F5" i="11"/>
  <c r="E128" i="10"/>
  <c r="E130" i="10" s="1"/>
  <c r="E139" i="10"/>
  <c r="B16" i="11" l="1"/>
  <c r="E132" i="10"/>
  <c r="E134" i="10" s="1"/>
  <c r="E135" i="10" s="1"/>
  <c r="B32" i="9"/>
  <c r="B33" i="9" s="1"/>
  <c r="D182" i="10"/>
  <c r="E166" i="10"/>
  <c r="E168" i="10" s="1"/>
  <c r="E177" i="10"/>
  <c r="B7" i="1"/>
  <c r="C20" i="12"/>
  <c r="C30" i="12"/>
  <c r="D7" i="1"/>
  <c r="C7" i="1"/>
  <c r="E90" i="10"/>
  <c r="E92" i="10" s="1"/>
  <c r="E101" i="10"/>
  <c r="E136" i="10" l="1"/>
  <c r="E137" i="10" s="1"/>
  <c r="E138" i="10" s="1"/>
  <c r="E140" i="10" s="1"/>
  <c r="D9" i="1"/>
  <c r="C9" i="1"/>
  <c r="B9" i="1"/>
  <c r="C32" i="12"/>
  <c r="E170" i="10"/>
  <c r="E172" i="10" s="1"/>
  <c r="E173" i="10" s="1"/>
  <c r="E171" i="10"/>
  <c r="E133" i="10"/>
  <c r="E94" i="10"/>
  <c r="E96" i="10" s="1"/>
  <c r="E97" i="10" s="1"/>
  <c r="E95" i="10"/>
  <c r="E141" i="10" l="1"/>
  <c r="E142" i="10" s="1"/>
  <c r="E143" i="10" s="1"/>
  <c r="F127" i="10" s="1"/>
  <c r="E98" i="10"/>
  <c r="E99" i="10" s="1"/>
  <c r="E100" i="10" s="1"/>
  <c r="E102" i="10" s="1"/>
  <c r="E174" i="10"/>
  <c r="E175" i="10" s="1"/>
  <c r="E176" i="10" s="1"/>
  <c r="E178" i="10" s="1"/>
  <c r="E179" i="10" l="1"/>
  <c r="E180" i="10" s="1"/>
  <c r="E181" i="10" s="1"/>
  <c r="F165" i="10" s="1"/>
  <c r="E103" i="10"/>
  <c r="E104" i="10" s="1"/>
  <c r="E105" i="10" s="1"/>
  <c r="F89" i="10" s="1"/>
  <c r="F128" i="10"/>
  <c r="F130" i="10" s="1"/>
  <c r="F139" i="10"/>
  <c r="E144" i="10"/>
  <c r="F90" i="10" l="1"/>
  <c r="F92" i="10" s="1"/>
  <c r="F101" i="10"/>
  <c r="E182" i="10"/>
  <c r="F132" i="10"/>
  <c r="F134" i="10" s="1"/>
  <c r="F135" i="10" s="1"/>
  <c r="E106" i="10"/>
  <c r="F166" i="10"/>
  <c r="F168" i="10" s="1"/>
  <c r="F177" i="10"/>
  <c r="F136" i="10" l="1"/>
  <c r="F137" i="10" s="1"/>
  <c r="F138" i="10" s="1"/>
  <c r="F140" i="10" s="1"/>
  <c r="F170" i="10"/>
  <c r="F172" i="10" s="1"/>
  <c r="F173" i="10" s="1"/>
  <c r="F133" i="10"/>
  <c r="F94" i="10"/>
  <c r="F96" i="10" s="1"/>
  <c r="F97" i="10" s="1"/>
  <c r="F141" i="10" l="1"/>
  <c r="F142" i="10" s="1"/>
  <c r="F143" i="10" s="1"/>
  <c r="G127" i="10" s="1"/>
  <c r="F95" i="10"/>
  <c r="F174" i="10"/>
  <c r="F175" i="10" s="1"/>
  <c r="F176" i="10" s="1"/>
  <c r="F178" i="10" s="1"/>
  <c r="F98" i="10"/>
  <c r="F99" i="10" s="1"/>
  <c r="F100" i="10" s="1"/>
  <c r="F102" i="10" s="1"/>
  <c r="F171" i="10"/>
  <c r="F103" i="10" l="1"/>
  <c r="F104" i="10" s="1"/>
  <c r="F105" i="10" s="1"/>
  <c r="G89" i="10" s="1"/>
  <c r="F106" i="10"/>
  <c r="F179" i="10"/>
  <c r="F180" i="10" s="1"/>
  <c r="F181" i="10" s="1"/>
  <c r="G165" i="10" s="1"/>
  <c r="G128" i="10"/>
  <c r="G130" i="10" s="1"/>
  <c r="G139" i="10"/>
  <c r="F144" i="10"/>
  <c r="G132" i="10" l="1"/>
  <c r="G134" i="10" s="1"/>
  <c r="G135" i="10" s="1"/>
  <c r="F182" i="10"/>
  <c r="G166" i="10"/>
  <c r="G168" i="10" s="1"/>
  <c r="G177" i="10"/>
  <c r="G90" i="10"/>
  <c r="G92" i="10" s="1"/>
  <c r="G101" i="10"/>
  <c r="G94" i="10" l="1"/>
  <c r="G96" i="10" s="1"/>
  <c r="G97" i="10" s="1"/>
  <c r="G170" i="10"/>
  <c r="G172" i="10" s="1"/>
  <c r="G173" i="10" s="1"/>
  <c r="G133" i="10"/>
  <c r="G136" i="10"/>
  <c r="G137" i="10" s="1"/>
  <c r="G138" i="10" s="1"/>
  <c r="G140" i="10" s="1"/>
  <c r="G95" i="10" l="1"/>
  <c r="G141" i="10"/>
  <c r="G142" i="10" s="1"/>
  <c r="G143" i="10" s="1"/>
  <c r="G174" i="10"/>
  <c r="G175" i="10" s="1"/>
  <c r="G176" i="10" s="1"/>
  <c r="G178" i="10" s="1"/>
  <c r="G171" i="10"/>
  <c r="G98" i="10"/>
  <c r="G99" i="10" s="1"/>
  <c r="G100" i="10" s="1"/>
  <c r="G102" i="10" s="1"/>
  <c r="G103" i="10" l="1"/>
  <c r="G104" i="10" s="1"/>
  <c r="G105" i="10" s="1"/>
  <c r="G179" i="10"/>
  <c r="G180" i="10" s="1"/>
  <c r="G181" i="10" s="1"/>
  <c r="B225" i="10"/>
  <c r="D225" i="10" s="1"/>
  <c r="G144" i="10"/>
  <c r="B226" i="10" s="1"/>
  <c r="D226" i="10" s="1"/>
  <c r="G106" i="10" l="1"/>
  <c r="G182" i="10"/>
  <c r="C147" i="10"/>
  <c r="C148" i="10" s="1"/>
  <c r="C185" i="10"/>
  <c r="C186" i="10" s="1"/>
  <c r="C109" i="10"/>
  <c r="C110" i="10" s="1"/>
  <c r="C113" i="10" l="1"/>
  <c r="B12" i="10" s="1"/>
  <c r="C112" i="10"/>
  <c r="C189" i="10"/>
  <c r="D12" i="10" s="1"/>
  <c r="C188" i="10"/>
  <c r="C151" i="10"/>
  <c r="C12" i="10" s="1"/>
  <c r="C150" i="10"/>
  <c r="B224" i="10" l="1"/>
  <c r="D224" i="10" s="1"/>
  <c r="D11" i="10"/>
  <c r="B11" i="14" s="1"/>
  <c r="D11" i="14" s="1"/>
  <c r="C11" i="10"/>
  <c r="B10" i="14" s="1"/>
  <c r="D10" i="14" s="1"/>
  <c r="B223" i="10"/>
  <c r="D223" i="10" s="1"/>
  <c r="B12" i="14" s="1"/>
  <c r="D12" i="14" s="1"/>
  <c r="B11" i="10"/>
  <c r="B9" i="14" s="1"/>
  <c r="D9" i="14" s="1"/>
  <c r="D18" i="14" s="1"/>
  <c r="B222" i="10"/>
  <c r="D222" i="10" s="1"/>
</calcChain>
</file>

<file path=xl/sharedStrings.xml><?xml version="1.0" encoding="utf-8"?>
<sst xmlns="http://schemas.openxmlformats.org/spreadsheetml/2006/main" count="967" uniqueCount="776">
  <si>
    <t>OBSOLETE — DO NOT USE · LBO AFFORDABILITY MODEL v1 (simplified) — superseded by LBO_full on 15-Jul-2026</t>
  </si>
  <si>
    <t>OBSOLETE (kept for build history only — figures inconsistent with the current model). Simplified LBO: all unlevered FCF applied to debt service, exit at fixed EBITDA multiple yr 5, entry leverage 35% of EV.</t>
  </si>
  <si>
    <t>ASSUMPTIONS  (cross-linked from Inputs)</t>
  </si>
  <si>
    <t>Entry leverage (Debt / Entry EV)</t>
  </si>
  <si>
    <t>Inputs!B42</t>
  </si>
  <si>
    <t>LBO exit multiple (×EBITDA)</t>
  </si>
  <si>
    <t>Hold period (years)</t>
  </si>
  <si>
    <t>Base WACC (reference)</t>
  </si>
  <si>
    <t>BASE CASE PROJECTIONS from DCF tab  (€m)</t>
  </si>
  <si>
    <t>2026</t>
  </si>
  <si>
    <t>2027</t>
  </si>
  <si>
    <t>2028</t>
  </si>
  <si>
    <t>2029</t>
  </si>
  <si>
    <t>2030</t>
  </si>
  <si>
    <t>CUM 5yr</t>
  </si>
  <si>
    <t>Revenue (€m)</t>
  </si>
  <si>
    <t>EBITDA (€m)</t>
  </si>
  <si>
    <t>Unlevered FCF (€m)</t>
  </si>
  <si>
    <t>Cumulative FCF (running total)</t>
  </si>
  <si>
    <t>EXIT METRICS  (Base Case, Year 5)</t>
  </si>
  <si>
    <t>EBITDA 2030 — Base (€m)</t>
  </si>
  <si>
    <t>Exit EV = EBITDA₂₀₃₀ × exit multiple  (€m)</t>
  </si>
  <si>
    <t>LBO AFFORDABILITY — Max Entry EV per IRR target</t>
  </si>
  <si>
    <t>IRR target</t>
  </si>
  <si>
    <t>Max Entry EV (€m)</t>
  </si>
  <si>
    <t>Entry Equity (€m)</t>
  </si>
  <si>
    <t>Entry Debt (€m)</t>
  </si>
  <si>
    <t>EV / EBITDA FY25 (×)</t>
  </si>
  <si>
    <t>Notes</t>
  </si>
  <si>
    <t>Conservative</t>
  </si>
  <si>
    <t>Conservative — minimum PE return threshold</t>
  </si>
  <si>
    <t>Base / Target</t>
  </si>
  <si>
    <t>Base / Target — mid-market PE standard</t>
  </si>
  <si>
    <t>Aggressive</t>
  </si>
  <si>
    <t>High-conviction / aggressive return target</t>
  </si>
  <si>
    <t>Formula: Entry EV = (Exit EV + Cumulative FCF) / [ Leverage + (1 − Leverage) × (1 + IRR)⁵ ]</t>
  </si>
  <si>
    <t>VERIFICATION — at DCF Base EV  (implied IRR check)</t>
  </si>
  <si>
    <t>Entry EV (DCF Base Gordon, €m)</t>
  </si>
  <si>
    <t>Entry equity  (€m)</t>
  </si>
  <si>
    <t>Entry debt  (€m)</t>
  </si>
  <si>
    <t>Cumulative FCF 5yr  (€m)</t>
  </si>
  <si>
    <t>Exit equity = max(0, Exit EV + CumFCF – Debt)</t>
  </si>
  <si>
    <t>Money-on-Money  (×)</t>
  </si>
  <si>
    <t>Implied 5-yr IRR</t>
  </si>
  <si>
    <t>Should ≈ 22.5% if DCF Base EV ≈ affordability at IRR 22.5%</t>
  </si>
  <si>
    <t>LBO range selected  (€m EV)</t>
  </si>
  <si>
    <t>Low=IRR 25%, Base=IRR 22.5%, High=IRR 18% (strategic patience buyer)</t>
  </si>
  <si>
    <t>SIDETRADE S.A. — VALUATION ANALYSIS</t>
  </si>
  <si>
    <t>Order-to-Cash Intelligence Platform  |  Euronext Growth: ALBFR.PA  |  FY2025 base  |  Valuation as of 15-Jul-2026 (v2.1)</t>
  </si>
  <si>
    <t>CENTRAL VALUATION — STAND-ALONE BASIS</t>
  </si>
  <si>
    <t>Enterprise Value — Central (DCF Base)</t>
  </si>
  <si>
    <t>Net Debt (strict, FY25)</t>
  </si>
  <si>
    <t>Equity Value — Central</t>
  </si>
  <si>
    <t>Diluted shares outstanding (m)</t>
  </si>
  <si>
    <t>Implied share price (€ / share)</t>
  </si>
  <si>
    <t>CONTROL / M&amp;A CASE</t>
  </si>
  <si>
    <t>Enterprise Value — control (Transaction Comps)</t>
  </si>
  <si>
    <t>~40% control premium vs. stand-alone</t>
  </si>
  <si>
    <t>VALUATION RANGES SUMMARY  (€m EV)</t>
  </si>
  <si>
    <t>Low</t>
  </si>
  <si>
    <t>Base / Central</t>
  </si>
  <si>
    <t>High</t>
  </si>
  <si>
    <t>Method note</t>
  </si>
  <si>
    <t>DCF (stand-alone)</t>
  </si>
  <si>
    <t>Gordon Growth primary; linear margin</t>
  </si>
  <si>
    <t>Trading comps</t>
  </si>
  <si>
    <t>EV/Sales &amp; EV/EBITDA 2026E peers</t>
  </si>
  <si>
    <t>Transaction comps</t>
  </si>
  <si>
    <t>Includes control premium</t>
  </si>
  <si>
    <t>LBO affordability</t>
  </si>
  <si>
    <t>IRR 25% / 22.5% / 18%</t>
  </si>
  <si>
    <t>IMPLIED MULTIPLES — CENTRAL BASE CASE</t>
  </si>
  <si>
    <t>EV / EBITDA FY25  (×)</t>
  </si>
  <si>
    <t>EV / Revenue FY25  (×)</t>
  </si>
  <si>
    <t>EV / EBITDA 2026E  (×)</t>
  </si>
  <si>
    <t>EV / Revenue 2026E  (×)</t>
  </si>
  <si>
    <t>KEY FY25 FINANCIAL METRICS  (reconciled)</t>
  </si>
  <si>
    <t>Revenue FY25</t>
  </si>
  <si>
    <t>Platform subscriptions €53.6m + Services €7.9m</t>
  </si>
  <si>
    <t>EBITDA FY25 (incl. CIR)</t>
  </si>
  <si>
    <t>GOS incl. CIR per Stat. Report p.5</t>
  </si>
  <si>
    <t>EBITDA margin FY25</t>
  </si>
  <si>
    <t>21.8%; PR rounds to 22%</t>
  </si>
  <si>
    <t>Subscription gross margin</t>
  </si>
  <si>
    <t>92% (stable, Stat. Report Note 3)</t>
  </si>
  <si>
    <t>FCF normalized FY25</t>
  </si>
  <si>
    <t>Excl. CIR timing drag of €2.947m</t>
  </si>
  <si>
    <t>Diluted shares</t>
  </si>
  <si>
    <t>1.537m diluted (Note 30)</t>
  </si>
  <si>
    <t>METHODOLOGY NOTES</t>
  </si>
  <si>
    <t>1. DCF: 5-year projection (2026-2030) × 3 scenarios (Bear/Base/Bull). EBITDA margin: linear interpolation FY25→2030 target. FCF = EBIT×(1−t) + D&amp;A − Capex − ΔBFR. Mid-year discounting. Terminal Value: Gordon Growth (primary). Exit multiple cross-check (15× EBITDA).</t>
  </si>
  <si>
    <t>2. CIR (Crédit Impôt Recherche): €3.5m/yr flat included in EBITDA for 2026-2030. FY25 actual: €3.482m. Risk sensitivity documented in Caveats tab.</t>
  </si>
  <si>
    <t>3. Net debt: strict basis = gross financial debt €31.0m − cash+securities €16.3m = €14.7m. No adjustments for deferred revenue, earn-outs, or operating leases.</t>
  </si>
  <si>
    <t>4. Trading comps: EV/Sales forward (primary) and EV/non-GAAP operating income (proxy) on refreshed peers BlackLine, BILL, nCino, Workiva — prices as of 15-Jul-2026, May-2026 guidances, EUR/USD 1.1424. Selected range fully formula-driven from the peer table.</t>
  </si>
  <si>
    <t>5. Transaction comps: Esker, Coupa, Billtrust, Pagero, Bottomline. All include control premium (30-50%); not directly comparable to stand-alone DCF/trading EV.</t>
  </si>
  <si>
    <t>6. LBO: full affordability model (LBO_full tab, engine-solved via lbo_engine.py): entry leverage 4.0x EBITDA FY25, all-in E3M + 479bps ≈ 7.16%, 1% mandatory amortisation + 75% cash sweep, CIR single-count, founder rollover; exit at 15× EBITDA yr 5. The earlier simplified model (35% leverage, full sweep, all-FCF-to-debt) is kept in the LBO_old tab as OBSOLETE history — do not use.</t>
  </si>
  <si>
    <t>7. Margin path: point estimate = linear. Front-loaded and back-loaded paths computed in Margin_path tab. EV spread vs. linear: ±3-5%.</t>
  </si>
  <si>
    <t>8. Sources: Statutory Report 31-Dec-2025 (KPMG/Yuma Audit, 21-Apr-2026), Press Release FY2025 (30-Mar-2026), O2C Intelligence 2030 Press Release (07-Apr-2026). All FY25 numbers reconciled to statutory accounts.</t>
  </si>
  <si>
    <t>SIDETRADE — INPUT ASSUMPTIONS  (single source of truth — all tabs point here)</t>
  </si>
  <si>
    <t>Blue cells = hardcoded inputs  |  Black cells = formulas  |  Green cells = cross-sheet links</t>
  </si>
  <si>
    <t>Parameter</t>
  </si>
  <si>
    <t>Bear</t>
  </si>
  <si>
    <t>Base</t>
  </si>
  <si>
    <t>Bull</t>
  </si>
  <si>
    <t>Notes / Source</t>
  </si>
  <si>
    <t>FY25 ANCHORS — reconciled against Statutory Report + Press Release FY2025</t>
  </si>
  <si>
    <t>Revenue FY25 (€m)</t>
  </si>
  <si>
    <t>PR FY2025 p.1; Stat. Report Note 15 — Turnover €61,416k</t>
  </si>
  <si>
    <t>EBITDA FY25 incl. CIR (€m)</t>
  </si>
  <si>
    <t>Stat. Report p.5 — Gross Operating Surplus incl. CIR: €13,384k</t>
  </si>
  <si>
    <t>EBIT FY25 incl. CIR (€m)</t>
  </si>
  <si>
    <t>Stat. Report p.5 — Operating income €6,785k + CIR €3,482k = €10,267k</t>
  </si>
  <si>
    <t>D&amp;A FY25 — economic proxy incl. net operating provisions (€m)</t>
  </si>
  <si>
    <t>Stat. Report Note 19: intangible 285k + tangible 540k = 825k ≈ 1.121k incl. amort. est.</t>
  </si>
  <si>
    <t>Capex FY25 (€m)</t>
  </si>
  <si>
    <t>Stat. Report Cash Flow p.6 — Acquisitions of fixed assets €1,024k</t>
  </si>
  <si>
    <t>EBITDA margin FY25 (computed)</t>
  </si>
  <si>
    <t>Matches PR: ~22% (rounded). Used as margin path anchor.</t>
  </si>
  <si>
    <t>REVENUE GROWTH ASSUMPTIONS (YoY, each year 2026–2030)</t>
  </si>
  <si>
    <t>Revenue growth 2026</t>
  </si>
  <si>
    <t>Q1-2026 actual: +17% reported, +21% cc, +27% subscriptions cc → Base 2026 =17% conservative</t>
  </si>
  <si>
    <t>Revenue growth 2027</t>
  </si>
  <si>
    <t>Revenue growth 2028</t>
  </si>
  <si>
    <t>Revenue growth 2029</t>
  </si>
  <si>
    <t>Deceleration reflects organic maturation; partially offset by AI-native bookings ramp</t>
  </si>
  <si>
    <t>Revenue growth 2030</t>
  </si>
  <si>
    <t>Bull 2030 at +12% requires AI-native &gt;20% of bookings (O2C2030 target: &gt;50% by 2030)</t>
  </si>
  <si>
    <t>EBITDA MARGIN PATH  (linear interpolation — FY25 anchor → 2030 target)</t>
  </si>
  <si>
    <t>EBITDA margin FY25 (anchor — auto-linked)</t>
  </si>
  <si>
    <t>Anchored to FY25 actuals via row 11. Do not override.</t>
  </si>
  <si>
    <t>EBITDA margin 2030 target</t>
  </si>
  <si>
    <t>O2C Intelligence 2030 plan: 30-35% target. Bear &lt; low end; Base = mid; Bull = top.</t>
  </si>
  <si>
    <t xml:space="preserve">  Implied EBITDA margin 2026</t>
  </si>
  <si>
    <t>Linear interp: margin_t = anchor + (target − anchor) × t/5. Year 1=2026, year 5=2030.</t>
  </si>
  <si>
    <t xml:space="preserve">  Implied EBITDA margin 2027</t>
  </si>
  <si>
    <t xml:space="preserve">  Implied EBITDA margin 2028</t>
  </si>
  <si>
    <t xml:space="preserve">  Implied EBITDA margin 2029</t>
  </si>
  <si>
    <t xml:space="preserve">  Implied EBITDA margin 2030</t>
  </si>
  <si>
    <t>P&amp;L &amp; CASH FLOW DRIVERS</t>
  </si>
  <si>
    <t>D&amp;A / Revenue (cash D&amp;A, excl. goodwill &amp; provisions)</t>
  </si>
  <si>
    <t>FY25 actual: 1.121/61.4=1.8% → rounded to 2.0%. Stable; GPU capex adds to D&amp;A from 2027.</t>
  </si>
  <si>
    <t>Effective tax rate (cash taxes / EBIT)</t>
  </si>
  <si>
    <t>FY25 cash tax ~€1.2m on EBIT €10.3m = 11.7% (depressed by tax losses). Forward: CIR effect fades.</t>
  </si>
  <si>
    <t>Capex / Revenue</t>
  </si>
  <si>
    <t>FY25 actual: 1.7%. Bear elevated for GPU ramp (O2C2030 plan: ~€4.1m cumulative GPU capex over 5yr).</t>
  </si>
  <si>
    <t>ΔBFR / ΔRevenue (working capital intensity)</t>
  </si>
  <si>
    <t>FY25 normalized: ~7% of ΔRev (ex-CIR timing). Bear higher for slower collections on new clients.</t>
  </si>
  <si>
    <t>CIR (Crédit Impôt Recherche) — annual flat included in EBITDA (€m)</t>
  </si>
  <si>
    <t>FY25: €3.482m. Flat assumption per management R&amp;D investment trajectory. *** See Caveats tab ***</t>
  </si>
  <si>
    <t>VALUATION PARAMETERS</t>
  </si>
  <si>
    <t>WACC</t>
  </si>
  <si>
    <t>SaaS small-cap France. Rf ~3.5%, ERP ~6%, levered beta 1.1-1.3, +size prem. Bear: higher risk prem.</t>
  </si>
  <si>
    <t>Terminal growth rate</t>
  </si>
  <si>
    <t>Long-run O2C market + inflation. Below 3% EUR nominal GDP. Cross-check: WACC must &gt; TG.</t>
  </si>
  <si>
    <t>Terminal Value exit multiple (×EBITDA) — cross-check only</t>
  </si>
  <si>
    <t>Conservative vs trading comps (24-35×). Used for TV cross-check; Gordon Growth is PRIMARY method.</t>
  </si>
  <si>
    <t>LBO PARAMETERS</t>
  </si>
  <si>
    <t>Conservative for small-cap tech (typical PE: 35-50%). Same across scenarios.</t>
  </si>
  <si>
    <t>Aligned with TV cross-check (row 39).</t>
  </si>
  <si>
    <t>WACC BUILD — bridge reproductible (Base) — ajouté 15/07/2026 (audit §4.3)</t>
  </si>
  <si>
    <t>Taux sans risque (OAT 10 ans)</t>
  </si>
  <si>
    <t>Niveau retenu dans le modèle ; re-vérifier sur Banque de France / BCE à la date de publication</t>
  </si>
  <si>
    <t>Prime de risque actions zone euro (ERP)</t>
  </si>
  <si>
    <t>Kroll — Recommended Eurozone ERP (kroll.com/en/reports/cost-of-capital) ; re-vérifier à date</t>
  </si>
  <si>
    <t>Bêta relevered (peers SaaS B2B, structure cible)</t>
  </si>
  <si>
    <t>DOCUMENTÉ 15/07/2026 (dossier Analyse_Beta_2026, 46/46 contrôles fiabilité): régression 2 ans hebdo (104 obs.) des 4 peers vs S&amp;P 500, désendettement Hamada, médiane 0,89, réendettement D/(D+E)=20% @ IS 25,83% -&gt; bêta central 1,06 (sensibilité Nasdaq: 0,71). Le modèle retient 1,15 = PRUDENT (+0,09 vs central, ~+0,5pt de coût des FP). Bêta propre Sidetrade vs CAC40: 0,18, R² 0,4%, p=0,50 -&gt; non significatif, contrôle seulement.</t>
  </si>
  <si>
    <t>Prime de taille small/micro-cap</t>
  </si>
  <si>
    <t>Kroll size premium, ordre de grandeur small-cap ; à confirmer</t>
  </si>
  <si>
    <t>Coût des fonds propres = rf + beta x ERP + prime</t>
  </si>
  <si>
    <t>Formule</t>
  </si>
  <si>
    <t>Poids cible de la dette (D/(D+E))</t>
  </si>
  <si>
    <t>Structure cible listée modérée (Cantor retient 15%)</t>
  </si>
  <si>
    <t>Coût de la dette pre-tax</t>
  </si>
  <si>
    <t>Corporate small-cap coté (hors structure LBO 7,16%)</t>
  </si>
  <si>
    <t>Coût de la dette after-tax (IS 25,83%)</t>
  </si>
  <si>
    <t>WACC bridgé</t>
  </si>
  <si>
    <t>Formule — doit encadrer le WACC retenu</t>
  </si>
  <si>
    <t>WACC retenu au modèle (C37)</t>
  </si>
  <si>
    <t>Écart bridge vs retenu (pts)</t>
  </si>
  <si>
    <t>Tolérance ±0,25 pt ; réf. externes : Cantor 8,5% (rf 3,0 / ERP 5,5 / beta 1,1 / 15% dette), build conservateur ~10,5%+ ; Bear 10,5% / Bull 8,5% = bornes de la fourchette</t>
  </si>
  <si>
    <t>FY25 BASE — FULL RECONCILIATION  (sources: Statutory Report 31-Dec-2025 + Press Release 30-Mar-2026)</t>
  </si>
  <si>
    <t>P&amp;L RECONCILIATION  (€k)</t>
  </si>
  <si>
    <t>FY2025</t>
  </si>
  <si>
    <t>FY2024</t>
  </si>
  <si>
    <t>Turnover (Revenue)</t>
  </si>
  <si>
    <t>Note 15 / PR p.1</t>
  </si>
  <si>
    <t xml:space="preserve">  Platform subscriptions</t>
  </si>
  <si>
    <t>Note 15</t>
  </si>
  <si>
    <t xml:space="preserve">  Services</t>
  </si>
  <si>
    <t>Other operational revenue</t>
  </si>
  <si>
    <t>Note 16: CIR rebill + provisions reversals + email services</t>
  </si>
  <si>
    <t>Purchases consumed</t>
  </si>
  <si>
    <t>P&amp;L statement</t>
  </si>
  <si>
    <t>Payroll costs</t>
  </si>
  <si>
    <t>Note 17</t>
  </si>
  <si>
    <t>Other operating expenses</t>
  </si>
  <si>
    <t>Taxes</t>
  </si>
  <si>
    <t>Note 18</t>
  </si>
  <si>
    <t>D&amp;A &amp; provisions (excl. goodwill)</t>
  </si>
  <si>
    <t>Note 19 — all allocations excl. goodwill</t>
  </si>
  <si>
    <t>Operating income — statutory (EBIT pre-CIR)</t>
  </si>
  <si>
    <t xml:space="preserve"> = €6,785k (2025); matches Stat. Report p.4 'Operating income before dep.' then less goodwill</t>
  </si>
  <si>
    <t xml:space="preserve">  Goodwill amortization</t>
  </si>
  <si>
    <t>Note 19 — depreciation on customer relations</t>
  </si>
  <si>
    <t>EBIT statutory (pre-CIR)</t>
  </si>
  <si>
    <t xml:space="preserve">  + CIR reclassified (from income tax line)</t>
  </si>
  <si>
    <t>Note 3 / Note 22 — CIR €3,482k reclassified as operating income per ANC reg.</t>
  </si>
  <si>
    <t>EBIT incl. CIR  (€k)</t>
  </si>
  <si>
    <t xml:space="preserve"> = €10,267k (2025); PR rounds to €10.3m ✓  Inputs!B8 = 10.267</t>
  </si>
  <si>
    <t>EBITDA (EBE) RECONCILIATION per Stat. Report Note 3 / p.5  (€k)</t>
  </si>
  <si>
    <t>EBIT incl. CIR (from row 17)</t>
  </si>
  <si>
    <t xml:space="preserve">  + All D&amp;A &amp; provisions (excl. goodwill)</t>
  </si>
  <si>
    <t>Note 19 total 'operational allocations' = 3,929k</t>
  </si>
  <si>
    <t xml:space="preserve">  – Reversal of operating provisions</t>
  </si>
  <si>
    <t>Note 16: reversal of operating provisions €812k (2025)</t>
  </si>
  <si>
    <t>Gross Operating Surplus (EBITDA) incl. CIR  (€k)</t>
  </si>
  <si>
    <t xml:space="preserve"> = €13,384k ✓ matches Stat. Report p.5 and PR '€13.4m EBITDA'</t>
  </si>
  <si>
    <t>EBITDA margin</t>
  </si>
  <si>
    <t xml:space="preserve"> = 21.8% (2025) / 20.0% (2024). PR states '22%' (rounded). Inputs!B7 uses 21.8%</t>
  </si>
  <si>
    <t>D&amp;A DECOMPOSITION — cash vs. non-cash  (€k, FY2025)</t>
  </si>
  <si>
    <t>€k</t>
  </si>
  <si>
    <t>Intangible D&amp;A (dev costs 227k + concessions 39k)</t>
  </si>
  <si>
    <t>Note 19</t>
  </si>
  <si>
    <t>Customer relations amortization</t>
  </si>
  <si>
    <t>Tangible D&amp;A (facilities 175k + other 400k)</t>
  </si>
  <si>
    <t>Goodwill amortization</t>
  </si>
  <si>
    <t>Note 19 (not in FCF D&amp;A)</t>
  </si>
  <si>
    <t>Cash D&amp;A total (rows 27+29, excl. goodwill &amp; cust. relations)</t>
  </si>
  <si>
    <t xml:space="preserve"> = 841k ≈ 1.4% Rev. Inputs uses 2.0% which adds operating provisions for forward est.</t>
  </si>
  <si>
    <t xml:space="preserve">  + Operating provisions (net of reversals)</t>
  </si>
  <si>
    <t>Note 19: provisions 609k+34k retirement – 321k reversals ≈ 280k net non-cash</t>
  </si>
  <si>
    <t>Total D&amp;A proxy for forward D&amp;A (Inputs!B9 × 1000)</t>
  </si>
  <si>
    <t xml:space="preserve"> = ~1,121k = 1.8% of revenue → rounded to 2.0% in forward projection (Inputs row 30)</t>
  </si>
  <si>
    <t>BALANCE SHEET — KEY ITEMS  (€k, 31-Dec)</t>
  </si>
  <si>
    <t>2025</t>
  </si>
  <si>
    <t>2024</t>
  </si>
  <si>
    <t>Total assets</t>
  </si>
  <si>
    <t>Stat. Report Consolidated Balance Sheet p.3</t>
  </si>
  <si>
    <t xml:space="preserve">  Intangible fixed assets (incl. goodwill)</t>
  </si>
  <si>
    <t xml:space="preserve">  Tangible fixed assets</t>
  </si>
  <si>
    <t xml:space="preserve">  Customer receivables (net)</t>
  </si>
  <si>
    <t xml:space="preserve">  Cash</t>
  </si>
  <si>
    <t xml:space="preserve">  Marketable securities</t>
  </si>
  <si>
    <t>Total equity (group share)</t>
  </si>
  <si>
    <t xml:space="preserve">  Financial debt (loans)</t>
  </si>
  <si>
    <t>BNP €10m + LCL €15m (ezyCollect acq.) + BNP/BPI legacy €5.8m = €30.8m ~ 31.0m</t>
  </si>
  <si>
    <t>NET DEBT BRIDGE  (€m)</t>
  </si>
  <si>
    <t>€m</t>
  </si>
  <si>
    <t>Gross financial debt</t>
  </si>
  <si>
    <t xml:space="preserve"> = €30.981m  — Stat. Report Note 10</t>
  </si>
  <si>
    <t xml:space="preserve">  – Cash</t>
  </si>
  <si>
    <t xml:space="preserve">  – Marketable securities</t>
  </si>
  <si>
    <t>Net Debt (strict)  (€m)</t>
  </si>
  <si>
    <t xml:space="preserve"> = €14.654m  Used in Equity Bridge. No adjustments for deferred rev., earn-outs or leases.</t>
  </si>
  <si>
    <t>FCF BRIDGE FY2025  (€m) — two views</t>
  </si>
  <si>
    <t>Net operational cash flow (statutory)</t>
  </si>
  <si>
    <t>Stat. Report Cash Flow p.6 — NET OPERATIONAL CASH FLOW (I) = €5,240k</t>
  </si>
  <si>
    <t xml:space="preserve">  – Capex</t>
  </si>
  <si>
    <t>FCF statutory  (€m)</t>
  </si>
  <si>
    <t xml:space="preserve"> = €4.216m | FCF margin 6.9% — depressed by BFR timing (CIR deferral)</t>
  </si>
  <si>
    <t xml:space="preserve">  + CIR timing normalization</t>
  </si>
  <si>
    <t>Stat. Report p.7: BFR –€5,176k includes –€2,947k CIR deferral (exceeded SME threshold). See Caveats.</t>
  </si>
  <si>
    <t>FCF normalized / economic  (€m)</t>
  </si>
  <si>
    <t xml:space="preserve"> = €7.163m | FCF margin 11.7% — starting point for DCF. PR confirms €8.7m OCF ex-CIR timing.</t>
  </si>
  <si>
    <t>FCF CROSS-CHECK — formula method (should ≈ normalized FCF above)</t>
  </si>
  <si>
    <t>EBIT incl. CIR (€m)</t>
  </si>
  <si>
    <t xml:space="preserve">  × (1 – effective tax rate)</t>
  </si>
  <si>
    <t>FY25 bear tax 25%</t>
  </si>
  <si>
    <t>NOPAT = EBIT × (1–t)</t>
  </si>
  <si>
    <t xml:space="preserve">  + D&amp;A (cash, €m)</t>
  </si>
  <si>
    <t xml:space="preserve">  – ΔBFR normalized (ex-CIR effect)</t>
  </si>
  <si>
    <t>Approx: total BFR 5.176m – CIR 2.947m – other ~1.7m = 0.521m net operational WC drain</t>
  </si>
  <si>
    <t>FCF formula method  (€m)</t>
  </si>
  <si>
    <t>Should approximate B56 (normalized FCF). Difference &lt; €0.5m = rounding in BFR allocation.</t>
  </si>
  <si>
    <t>SHARE COUNT</t>
  </si>
  <si>
    <t>Basic shares (31-Dec-2025)</t>
  </si>
  <si>
    <t>Note 30 — 1,497,346 shares × €1 nominal = share capital €1,497,346</t>
  </si>
  <si>
    <t>Diluted shares (used for per-share valuation)</t>
  </si>
  <si>
    <t>Note 30 — diluted 1,536,790 (incl. BSAP 2021: 10,742 + BSAP 2023: 28,702 remaining)</t>
  </si>
  <si>
    <t>DCF PROJECTION — SIDETRADE FY2026–2030  (€m)</t>
  </si>
  <si>
    <t>FCF formula: NOPAT + D&amp;A – Capex – ΔBFR  |  Mid-year discounting: PV = FCF/(1+WACC)^(t–0.5)  |  TV: Gordon Growth (primary) + Exit Multiple (cross-check)</t>
  </si>
  <si>
    <t>VALUATION SUMMARY</t>
  </si>
  <si>
    <t>Bear EV</t>
  </si>
  <si>
    <t>Base EV</t>
  </si>
  <si>
    <t>Bull EV</t>
  </si>
  <si>
    <t>REVENUE</t>
  </si>
  <si>
    <t>Revenue  (€m)</t>
  </si>
  <si>
    <t xml:space="preserve">  YoY growth %</t>
  </si>
  <si>
    <t>PROFITABILITY</t>
  </si>
  <si>
    <t xml:space="preserve">  EBITDA margin</t>
  </si>
  <si>
    <t>EBITDA  (€m)</t>
  </si>
  <si>
    <t xml:space="preserve">  D&amp;A  (€m)</t>
  </si>
  <si>
    <t>EBIT  (€m)</t>
  </si>
  <si>
    <t>FREE CASH FLOW</t>
  </si>
  <si>
    <t xml:space="preserve">  Cash taxes  (EBIT × t)</t>
  </si>
  <si>
    <t xml:space="preserve">  NOPAT = EBIT × (1–t)</t>
  </si>
  <si>
    <t xml:space="preserve">  Capex  (–)</t>
  </si>
  <si>
    <t xml:space="preserve">  ΔBFR  (–)</t>
  </si>
  <si>
    <t>Unlevered FCF  M1: NOPAT + D&amp;A – Capex – ΔBFR  (€m)</t>
  </si>
  <si>
    <t xml:space="preserve">  FCF cross-check  M2: EBITDA – CashTax – Capex – ΔBFR  (€m)</t>
  </si>
  <si>
    <t>DISCOUNTING  (mid-year convention: PV = FCF/(1+WACC)^(t–0.5))</t>
  </si>
  <si>
    <t xml:space="preserve">  Discount period t–0.5</t>
  </si>
  <si>
    <t xml:space="preserve">  Discount factor  1/(1+WACC)^(t–0.5)</t>
  </si>
  <si>
    <t xml:space="preserve">  PV(FCF)  (€m)</t>
  </si>
  <si>
    <t>VALUATION SUMMARY  (€m)</t>
  </si>
  <si>
    <t>Sum PV(FCF) — discounted projection period</t>
  </si>
  <si>
    <t>Terminal FCF  = FCF₂₀₃₀ × (1+g)</t>
  </si>
  <si>
    <t>Terminal Value — Gordon Growth  TV = FCF₂₀₃₀×(1+g) / (WACC–g)</t>
  </si>
  <si>
    <t>PV(Terminal Value)  = TV / (1+WACC)^5</t>
  </si>
  <si>
    <t>Enterprise Value [Gordon — PRIMARY]  (€m)</t>
  </si>
  <si>
    <t>Terminal Value — exit multiple cross-check  = EBITDA₂₀₃₀ × mult.</t>
  </si>
  <si>
    <t>PV(TV — exit multiple)</t>
  </si>
  <si>
    <t>EV [exit multiple cross-check]  (€m)</t>
  </si>
  <si>
    <t>Implied exit EBITDA multiple from Gordon TV  (×)</t>
  </si>
  <si>
    <t>TV as % of total EV  (TV/EV)</t>
  </si>
  <si>
    <t>Implied EV / EBITDA FY25  (×)</t>
  </si>
  <si>
    <t>Implied EV / Revenue FY25  (×)</t>
  </si>
  <si>
    <t>SENSITIVITY — BASE CASE EV (€m)  |  FCFs from DCF Base columns (C, F, I, L, O)</t>
  </si>
  <si>
    <t>PV recomputed with sensitivity WACC &amp; TG/multiple. Base FCFs fixed at DCF Base scenario rows 21 (year FCFs).</t>
  </si>
  <si>
    <t>TABLE 1 — EV (€m) : WACC (rows) × Terminal Growth Rate (cols)</t>
  </si>
  <si>
    <t>WACC  ↓  \ TG  →</t>
  </si>
  <si>
    <t>Highlighted cell = Base case (WACC 9.5%, TG 2.5%)</t>
  </si>
  <si>
    <t>TABLE 2 — EV (€m) : WACC (rows) × EBITDA Exit Multiple (cols)</t>
  </si>
  <si>
    <t>WACC  ↓  \ Exit Mult  →</t>
  </si>
  <si>
    <t>Highlighted cell = Base case (WACC 9.5%, exit 15× EBITDA)</t>
  </si>
  <si>
    <t>Note: EBITDA 2030 Base = DCF!O12. FCF 2030 Base = DCF!O21. TV sensitivity driven primarily by terminal year.</t>
  </si>
  <si>
    <t>MARGIN PATH SENSITIVITY — EV impact of timing  (Base case rev. &amp; WACC fixed)</t>
  </si>
  <si>
    <t>All paths: identical Base revenue growth, WACC 9.5%, TG 2.5%, Capex 2.7%, ΔBFR 7%, tax 22%. Only EBITDA trajectory differs.</t>
  </si>
  <si>
    <t>Linear (point est.)</t>
  </si>
  <si>
    <t>Front-loaded</t>
  </si>
  <si>
    <t>Back-loaded</t>
  </si>
  <si>
    <t>EBITDA margin FY25 (anchor)</t>
  </si>
  <si>
    <t>ANNUAL EBITDA MARGIN BY PATH</t>
  </si>
  <si>
    <t>lin=0.20 · front=0.30 · back=0.10</t>
  </si>
  <si>
    <t>lin=0.40 · front=0.52 · back=0.26</t>
  </si>
  <si>
    <t>lin=0.60 · front=0.72 · back=0.48</t>
  </si>
  <si>
    <t>lin=0.80 · front=0.88 · back=0.73</t>
  </si>
  <si>
    <t>lin=1.00 · front=1.00 · back=1.00</t>
  </si>
  <si>
    <t>EBITDA &amp; FCF BY PATH  (€m)  — Revenue = DCF Base scenario</t>
  </si>
  <si>
    <t>EBITDA 2026</t>
  </si>
  <si>
    <t>Rev ref: DCF!C7</t>
  </si>
  <si>
    <t>EBITDA 2027</t>
  </si>
  <si>
    <t>Rev ref: DCF!F7</t>
  </si>
  <si>
    <t>EBITDA 2028</t>
  </si>
  <si>
    <t>Rev ref: DCF!I7</t>
  </si>
  <si>
    <t>EBITDA 2029</t>
  </si>
  <si>
    <t>Rev ref: DCF!L7</t>
  </si>
  <si>
    <t>EBITDA 2030</t>
  </si>
  <si>
    <t>Rev ref: DCF!O7</t>
  </si>
  <si>
    <t>FCF 2026</t>
  </si>
  <si>
    <t>FCF 2027</t>
  </si>
  <si>
    <t>FCF 2028</t>
  </si>
  <si>
    <t>FCF 2029</t>
  </si>
  <si>
    <t>FCF 2030</t>
  </si>
  <si>
    <t>PV(FCF) &amp; TERMINAL VALUE BY PATH  (€m)</t>
  </si>
  <si>
    <t>PV(FCF 2026)</t>
  </si>
  <si>
    <t>PV(FCF 2027)</t>
  </si>
  <si>
    <t>PV(FCF 2028)</t>
  </si>
  <si>
    <t>PV(FCF 2029)</t>
  </si>
  <si>
    <t>PV(FCF 2030)</t>
  </si>
  <si>
    <t>Sum PV(FCF)  (€m)</t>
  </si>
  <si>
    <t>Terminal Value (Gordon Growth)  (€m)</t>
  </si>
  <si>
    <t>Enterprise Value  (€m)</t>
  </si>
  <si>
    <t>EV spread vs. linear  (€m)</t>
  </si>
  <si>
    <t>EV spread vs. linear  (%)</t>
  </si>
  <si>
    <t>Point estimate for all other tabs: Linear interpolation (col B). Front-loaded / back-loaded show ±EV sensitivity.</t>
  </si>
  <si>
    <t>TRADING COMPS — SaaS B2B / Finance Automation / O2C peers | VALORISATION AU 15/07/2026</t>
  </si>
  <si>
    <t>Cours du 15/07/2026 (cotations intraday désynchronisées — précision au jour) ; EUR/USD 1,1424 au 15/07/2026 ; guidances publiées en mai 2026. Méthode PRIMAIRE : EV/Sales forward (guidance midpoint). Méthode de CONTRÔLE : EV/résultat opérationnel non-GAAP — ce n'est PAS un EBITDA (D&amp;A non réintégrée, SBC exclue selon les émetteurs) : proxy assumé, homogénéité imparfaite entre peers.</t>
  </si>
  <si>
    <t>Company</t>
  </si>
  <si>
    <t>Ticker</t>
  </si>
  <si>
    <t>Cours USD</t>
  </si>
  <si>
    <t>EV (€m)</t>
  </si>
  <si>
    <t>Rev fwd guidée (€m)</t>
  </si>
  <si>
    <t>Rés. op. non-GAAP (€m)</t>
  </si>
  <si>
    <t>EV/Sales fwd</t>
  </si>
  <si>
    <t>EV/OpInc</t>
  </si>
  <si>
    <t>Période guidée / note</t>
  </si>
  <si>
    <t>BlackLine</t>
  </si>
  <si>
    <t>BL US</t>
  </si>
  <si>
    <t>FY26 clos 31/12/26 — calendaire 2026 ; marge op. 24,0-24,5%</t>
  </si>
  <si>
    <t>BILL Holdings</t>
  </si>
  <si>
    <t>BILL US</t>
  </si>
  <si>
    <t>FY26 clos 30/06/26 — QUASI-TRAILING (exercice déjà clos) ; fonds clients neutralisés dans l'EV ; core revenue 1 501 M$ (EV/core 2,61x)</t>
  </si>
  <si>
    <t>nCino</t>
  </si>
  <si>
    <t>NCNO US</t>
  </si>
  <si>
    <t>FY27 clos 31/01/27 ≈ calendaire 2026 ; FCF guidé 135-140 M$</t>
  </si>
  <si>
    <t>Workiva</t>
  </si>
  <si>
    <t>WK US</t>
  </si>
  <si>
    <t>FY26 clos 31/12/26 — calendaire 2026 ; marge op. 16,0-16,5% ; FCF ≈ 20%</t>
  </si>
  <si>
    <t>Esker (réf.)*</t>
  </si>
  <si>
    <t>(retirée de la cote)</t>
  </si>
  <si>
    <t>* Deal Bridgepoint/GA 2024 : ~7,7x CA 2024A / ~6,9x NTM (doc offre). Référence M&amp;A, exclue des agrégats.</t>
  </si>
  <si>
    <t>AGRÉGATS (4 peers cotés, hors Esker)</t>
  </si>
  <si>
    <t>Médiane</t>
  </si>
  <si>
    <t>Min</t>
  </si>
  <si>
    <t>Max</t>
  </si>
  <si>
    <t>IMPLIED EV SIDETRADE — multiples appliqués aux estimations 2026E Base</t>
  </si>
  <si>
    <t>Sidetrade Revenue 2026E (Base, €m)</t>
  </si>
  <si>
    <t>Sidetrade EBITDA 2026E (Base, €m — incl. CIR)</t>
  </si>
  <si>
    <t>Fourchette</t>
  </si>
  <si>
    <t>Low (min peers)</t>
  </si>
  <si>
    <t>Mid (médiane)</t>
  </si>
  <si>
    <t>High (max peers)</t>
  </si>
  <si>
    <t>Multiple EV/Sales fwd — dérivé de la table</t>
  </si>
  <si>
    <t>EV implicite via EV/Sales (€m)</t>
  </si>
  <si>
    <t>Multiple EV/OpInc (proxy EBITDA) — dérivé de la table</t>
  </si>
  <si>
    <t>EV implicite via proxy EBITDA (€m)</t>
  </si>
  <si>
    <t>Fourchette trading retenue (€m EV)</t>
  </si>
  <si>
    <t>Moyenne des deux méthodes, 100% dérivée de la table : changer un peer change la fourchette et le football field.</t>
  </si>
  <si>
    <t>Lecture au 15/07/2026 : les peers US se sont fortement dératés vs H1-2025 (médiane EV/Sales fwd ~2,6x vs ~4,7x). La fourchette trading devient un PLANCHER de sentiment de marché US — à confronter à l'EV de marché de Sidetrade elle-même (~282 M€ au 15/07, ~3,9x son CA 2026E) : le marché paie déjà Sidetrade au-dessus du haut de fourchette peers. Écart DCF (301) vs comps = débat de prime assumé (croissance organique + profitabilité + small-cap FR vs mid-caps US), pas une convergence.</t>
  </si>
  <si>
    <t>TRANSACTION COMPS — Precedent M&amp;A in Office-of-CFO / O2C / Fintech SaaS  (control transactions)</t>
  </si>
  <si>
    <t>All deals include control premium (30-50% vs. trading). Faits verifies et corriges le 15-Jul-2026 (audit 4.5): Billtrust-&gt;EQT, Bottomline-&gt;Thoma Bravo, Esker EV/CA restates.</t>
  </si>
  <si>
    <t>Target</t>
  </si>
  <si>
    <t>Year</t>
  </si>
  <si>
    <t>Acquirer</t>
  </si>
  <si>
    <t>Segment</t>
  </si>
  <si>
    <t>LTM Rev (€m)</t>
  </si>
  <si>
    <t>LTM EBITDA (€m)</t>
  </si>
  <si>
    <t>EV/Sales</t>
  </si>
  <si>
    <t>EV/EBITDA</t>
  </si>
  <si>
    <t>Esker</t>
  </si>
  <si>
    <t>Bridgepoint / GA</t>
  </si>
  <si>
    <t>O2C / AR automation (France)</t>
  </si>
  <si>
    <t>"n.m."</t>
  </si>
  <si>
    <t>Offre 262 EUR/action (sept. 2024): equity ~1 619 M, EV ~1 576 M; ~7,7x CA 2024A (205,3 M). Doc offre: moyenne transactions ~6,8x NTM Sales. EBITDA LTM non retraite -&gt; exclu des agregats.</t>
  </si>
  <si>
    <t>Coupa</t>
  </si>
  <si>
    <t>Thoma Bravo</t>
  </si>
  <si>
    <t>Source-to-pay / procurement</t>
  </si>
  <si>
    <t>~$8B; ~11× Sales; EBITDA near breakeven at time of deal</t>
  </si>
  <si>
    <t>Billtrust</t>
  </si>
  <si>
    <t>EQT Private Equity</t>
  </si>
  <si>
    <t>AR invoicing / cash app SaaS</t>
  </si>
  <si>
    <t>~USD 1,7 Md take-private (annonce sept. 2022); ~9x Sales; scale player AR automation</t>
  </si>
  <si>
    <t>Pagero</t>
  </si>
  <si>
    <t>Thomson Reuters</t>
  </si>
  <si>
    <t>E-invoicing / tax compliance</t>
  </si>
  <si>
    <t>SEK 7.3B (~€0.6B); ~6.7× Sales; ~33× EBITDA</t>
  </si>
  <si>
    <t>Bottomline Tech.</t>
  </si>
  <si>
    <t>B2B payments / cash management</t>
  </si>
  <si>
    <t>~$2.6B; ~5.4× Sales; ~26× EBITDA. Mature but OCF-positive</t>
  </si>
  <si>
    <t>AGGREGATES</t>
  </si>
  <si>
    <t>Median</t>
  </si>
  <si>
    <t>Coupa (161x n/m) et Esker (EBITDA n.d.) exclus des agregats EV/EBITDA</t>
  </si>
  <si>
    <t>IMPLIED CONTROL EV FOR SIDETRADE</t>
  </si>
  <si>
    <t>Esker deal most comparable (same vertical, Euronext Growth, O2C). Discount applied for size &amp; liquidity.</t>
  </si>
  <si>
    <t>Sidetrade Revenue FY25 (€m)</t>
  </si>
  <si>
    <t>Sidetrade Revenue 2026E Base (€m)</t>
  </si>
  <si>
    <t>Sidetrade EBITDA FY25 (€m)</t>
  </si>
  <si>
    <t>Implied EV range — control  (€m)</t>
  </si>
  <si>
    <t>Base control</t>
  </si>
  <si>
    <t>EV/Sales multiple applied</t>
  </si>
  <si>
    <t>Low = Bottomline/Pagero; Mid = Esker; High = Coupa premium. Size discount applied.</t>
  </si>
  <si>
    <t>Implied EV on FY25 Revenue (€m)</t>
  </si>
  <si>
    <t>Selected transaction comp range  (€m EV)</t>
  </si>
  <si>
    <t>Derive des multiples ligne 24 (mid = moyenne doc offre Esker ~6,8x NTM avec decote taille). Control premium ~40% vs stand-alone.</t>
  </si>
  <si>
    <t>IMPORTANT: Transaction comps include control premium. NOT directly comparable to DCF or trading comp EV.</t>
  </si>
  <si>
    <t>SIDETRADE — LBO MODEL (FULL)</t>
  </si>
  <si>
    <t>Build v2.1 · 15-Jul-2026 (CIR single-count fix, comps refresh 15/07, WACC bridge, Checks sheet) · originally v1.0 10-Jun-2026 per Build Spec v3 · Blue = input · Black = formula · Green = cross-sheet link</t>
  </si>
  <si>
    <t>Interest on OPENING debt (documented non-circular variant, Spec §3.4). Engine-solved values flagged in Source column.</t>
  </si>
  <si>
    <t>0 — COCKPIT</t>
  </si>
  <si>
    <t>Deal snapshot</t>
  </si>
  <si>
    <t>New TLB / leverage / all-in rate</t>
  </si>
  <si>
    <t>Sweep / exit multiple / rollover</t>
  </si>
  <si>
    <t>Live results (at Entry EV inputs, row 50)</t>
  </si>
  <si>
    <t>Entry EV (€m)</t>
  </si>
  <si>
    <t>Sponsor IRR (5y)</t>
  </si>
  <si>
    <t>Sponsor MoM</t>
  </si>
  <si>
    <t>S&amp;U balance check (must be 0)</t>
  </si>
  <si>
    <t>Affordability — max Entry EV (€m) per target IRR  [engine-solved]</t>
  </si>
  <si>
    <t>IRR 18%</t>
  </si>
  <si>
    <t>IRR 22.5%</t>
  </si>
  <si>
    <t>IRR 25%</t>
  </si>
  <si>
    <t>Old hardcoded range was 135 / 283 / 455 — replaced. New range is tighter and honest:</t>
  </si>
  <si>
    <t>entry ~18x EBITDA vs exit 15x = multiple compression caps sponsor pricing below DCF fair value.</t>
  </si>
  <si>
    <t>1 — INPUT BLOCK  (Cat A = verified regulatory/primary · B = market standard · C = Sidetrade-specific · D = modelling assumption)</t>
  </si>
  <si>
    <t>Value</t>
  </si>
  <si>
    <t>Cat</t>
  </si>
  <si>
    <t>Source</t>
  </si>
  <si>
    <t>Euribor 3M (09-Jun-2026)</t>
  </si>
  <si>
    <t>B</t>
  </si>
  <si>
    <t>euribor-rates.eu, verified 09-Jun-2026 (2.373%)</t>
  </si>
  <si>
    <t>TLB spread over Euribor (B-rated median)</t>
  </si>
  <si>
    <t>S&amp;P Eur LevFin Monthly Mar-2026 (s101674532) — gated, to reconfirm at final pass</t>
  </si>
  <si>
    <t>All-in TLB rate</t>
  </si>
  <si>
    <t>—</t>
  </si>
  <si>
    <t>Calculated</t>
  </si>
  <si>
    <t>Entry leverage (x EBITDA FY25)</t>
  </si>
  <si>
    <t>Capstone Mid-Market LevFin Q1-2026: total 4.0–6.0x, senior 3.0–4.5x — taken at senior mid</t>
  </si>
  <si>
    <t>New TLB (€m)</t>
  </si>
  <si>
    <t>Note: leverage x EBITDA FY25 (Inputs!B7)</t>
  </si>
  <si>
    <t>Mandatory amortisation (% of original TLB p.a.)</t>
  </si>
  <si>
    <t>European TLB convention (1%/yr, bullet at maturity)</t>
  </si>
  <si>
    <t>Cash sweep (% of excess FCF)</t>
  </si>
  <si>
    <t>European LevFin convention 50–75% — upper end at 4x leverage</t>
  </si>
  <si>
    <t>Minimum cash on balance sheet (€m)</t>
  </si>
  <si>
    <t>D</t>
  </si>
  <si>
    <t>Assumption — modelling: ~1 month OpEx (Sidetrade OpEx ~€48m/yr). Sens. 5–12</t>
  </si>
  <si>
    <t>Transaction fees (% of Entry EV)</t>
  </si>
  <si>
    <t>Firmex M&amp;A Fee Guide 2024-25 EU: 3–5% for €10-30m EBITDA targets — taken at low end</t>
  </si>
  <si>
    <t>Financing fees (% of new TLB)</t>
  </si>
  <si>
    <t>Arrangement 2.5-2.75% + OID 1-2% ~ 3% blended (Cleary Gottlieb EU LevFin)</t>
  </si>
  <si>
    <t>RCF commitment fee (€m p.a.)</t>
  </si>
  <si>
    <t>Assumption: 50bps x €15m undrawn RCF</t>
  </si>
  <si>
    <t>Novasque ownership (pre-deal)</t>
  </si>
  <si>
    <t>C</t>
  </si>
  <si>
    <t>Sidetrade PR Feb-2026 (Briarwood release): founder holds 35%</t>
  </si>
  <si>
    <t>Rollover (% of Novasque consideration)</t>
  </si>
  <si>
    <t>Assumption — founder staying active: 25–40% band (WSP/Auxo). Sens. 25–50%</t>
  </si>
  <si>
    <t>Exit multiple (x EBITDA 2030)</t>
  </si>
  <si>
    <t>Note: TV cross-check multiple (Inputs!B39). Conservative vs trading comps 22-25x. Sens. 12-19x</t>
  </si>
  <si>
    <t>IS rate (normal)</t>
  </si>
  <si>
    <t>A</t>
  </si>
  <si>
    <t>CGI art. 219 (LEGIARTI000053542939)</t>
  </si>
  <si>
    <t>Social contribution on IS</t>
  </si>
  <si>
    <t>CGI art. 235 ter ZC — 3.3% of IS above €0.763m</t>
  </si>
  <si>
    <t>Social contribution threshold (€m)</t>
  </si>
  <si>
    <t>CGI art. 235 ter ZC</t>
  </si>
  <si>
    <t>CIR — flat, included in DCF EBITDA; non-taxable, no tax-line offset (€m)</t>
  </si>
  <si>
    <t>FY25 actual €3.482m (Note 22); flat per DCF assumption Inputs!B34</t>
  </si>
  <si>
    <t>Net debt pre-deal — strict (€m)</t>
  </si>
  <si>
    <t>Stat Report p.3/p.18/p.20: 30.981 − 16.327 = 14.654</t>
  </si>
  <si>
    <t>Gross financial debt pre-deal (€m)</t>
  </si>
  <si>
    <t>Stat Report Note 10 (5 tranches, w.avg ~2.4% — refinanced at close)</t>
  </si>
  <si>
    <t>Cash + marketable securities pre-deal (€m)</t>
  </si>
  <si>
    <t>Stat Report Note 6: 5.402 + 10.925</t>
  </si>
  <si>
    <t>Earn-outs settled at close (€m)</t>
  </si>
  <si>
    <t>Note 29: Amalto 277k + CreditPoint 178k provisioned</t>
  </si>
  <si>
    <t>ezyCollect deferred consideration (€m)</t>
  </si>
  <si>
    <t>Note 13: fixed deferred payment to shareholder (distinct from contingent earn-out, not provisioned)</t>
  </si>
  <si>
    <t>Holding period (years)</t>
  </si>
  <si>
    <t>Standard PE hold; matches DCF horizon</t>
  </si>
  <si>
    <t>Stat Report p.5: €13.384m</t>
  </si>
  <si>
    <t>Per-scenario inputs</t>
  </si>
  <si>
    <t>Entry EV (€m) — INPUT (default = 22.5% IRR solve)</t>
  </si>
  <si>
    <t>Engine-solved default (verify via Goal Seek — Documentation §5). Change freely: all formulas recompute.</t>
  </si>
  <si>
    <t>2 — SOURCES &amp; USES AT CLOSE  (€m)</t>
  </si>
  <si>
    <t>USES — Equity purchase (EV − net debt pre)</t>
  </si>
  <si>
    <t>Cash-and-debt-free pricing</t>
  </si>
  <si>
    <t>Refinance existing financial debt</t>
  </si>
  <si>
    <t>All 5 tranches repaid at close (Note 10)</t>
  </si>
  <si>
    <t>Earn-outs settled (Amalto + CreditPoint)</t>
  </si>
  <si>
    <t>Note 29 provisions cleared at close</t>
  </si>
  <si>
    <t>ezyCollect deferred consideration</t>
  </si>
  <si>
    <t>Note 13 — fixed obligation</t>
  </si>
  <si>
    <t>Transaction fees</t>
  </si>
  <si>
    <t>3% x Entry EV</t>
  </si>
  <si>
    <t>Financing fees</t>
  </si>
  <si>
    <t>3% x new TLB</t>
  </si>
  <si>
    <t>Cash to balance sheet (min cash)</t>
  </si>
  <si>
    <t>Operating cash funded fresh</t>
  </si>
  <si>
    <t>TOTAL USES</t>
  </si>
  <si>
    <t>SOURCES — New TLB</t>
  </si>
  <si>
    <t>4.0x EBITDA FY25</t>
  </si>
  <si>
    <t>Existing cash + securities applied</t>
  </si>
  <si>
    <t>Acquired with the company, applied to uses</t>
  </si>
  <si>
    <t>Management rollover (non-cash)</t>
  </si>
  <si>
    <t>Novasque 35% x 35% rolled — reduces sponsor cheque, not price</t>
  </si>
  <si>
    <t>Sponsor equity (balancing)</t>
  </si>
  <si>
    <t>TOTAL SOURCES</t>
  </si>
  <si>
    <t>CHECK — Sources minus Uses</t>
  </si>
  <si>
    <t>Must be 0.0</t>
  </si>
  <si>
    <t>3 — CAPITAL STRUCTURE POST-CLOSE  (€m)</t>
  </si>
  <si>
    <t>Net debt at close (TLB − min cash)</t>
  </si>
  <si>
    <t>Net leverage at close (x EBITDA FY25)</t>
  </si>
  <si>
    <t>Cross-check: should be ~3.4x</t>
  </si>
  <si>
    <t>Equity value at close (EV − net debt)</t>
  </si>
  <si>
    <t>Management ownership %</t>
  </si>
  <si>
    <t>Rollover value / equity at close</t>
  </si>
  <si>
    <t>Sponsor ownership %</t>
  </si>
  <si>
    <t>4b — ENGINE — BEAR  (€m · years 2026-2030)</t>
  </si>
  <si>
    <t>OPERATING (cross-linked from DCF)</t>
  </si>
  <si>
    <t>Revenue</t>
  </si>
  <si>
    <t>EBITDA</t>
  </si>
  <si>
    <t>D&amp;A</t>
  </si>
  <si>
    <t>EBIT</t>
  </si>
  <si>
    <t>Capex (−)</t>
  </si>
  <si>
    <t>ΔBFR (−)</t>
  </si>
  <si>
    <t>DEBT SCHEDULE &amp; TAX</t>
  </si>
  <si>
    <t>Opening debt</t>
  </si>
  <si>
    <t>Interest (opening × all-in)</t>
  </si>
  <si>
    <t>RCF commitment fee</t>
  </si>
  <si>
    <t>Total financial charges</t>
  </si>
  <si>
    <t>ATAD cap = MAX(3, 30% × EBITDA)</t>
  </si>
  <si>
    <t>Deductible financial charges</t>
  </si>
  <si>
    <t>Non-deductible carryforward (cum., display only)</t>
  </si>
  <si>
    <t>Taxable income (EBIT − CIR − deductible; CIR non-taxable)</t>
  </si>
  <si>
    <t>Theoretical IS (25%)</t>
  </si>
  <si>
    <t>Social contribution (3.3% &gt; 0.763)</t>
  </si>
  <si>
    <t>Cash tax (floored at 0; CIR benefit in EBITDA only)</t>
  </si>
  <si>
    <t>Net income</t>
  </si>
  <si>
    <t>Mandatory amortisation (1% of orig. TLB)</t>
  </si>
  <si>
    <t>Cash before sweep</t>
  </si>
  <si>
    <t>Excess over min cash</t>
  </si>
  <si>
    <t>Cash sweep (75% of excess)</t>
  </si>
  <si>
    <t>Closing debt</t>
  </si>
  <si>
    <t>Closing cash</t>
  </si>
  <si>
    <t>EXIT (year 5 = 2030)</t>
  </si>
  <si>
    <t>Exit EV = EBITDA 2030 × exit multiple</t>
  </si>
  <si>
    <t>Exit equity = Exit EV − closing debt + closing cash</t>
  </si>
  <si>
    <t>Sponsor exit equity (× sponsor %)</t>
  </si>
  <si>
    <t>Sponsor entry equity (from S&amp;U)</t>
  </si>
  <si>
    <t>SPONSOR IRR (5y)</t>
  </si>
  <si>
    <t>Lives off the Entry EV input in row 50 — change it and this recomputes.</t>
  </si>
  <si>
    <t>Sponsor Money-on-Money</t>
  </si>
  <si>
    <t>4b — ENGINE — BASE  (€m · years 2026-2030)</t>
  </si>
  <si>
    <t>4b — ENGINE — BULL  (€m · years 2026-2030)</t>
  </si>
  <si>
    <t>5 — AFFORDABILITY  (engine-solved Goal Seek equivalents · €m)</t>
  </si>
  <si>
    <t>Scenario</t>
  </si>
  <si>
    <t>Solved by lbo_engine.py (bisection, 80 iter). Verify: set row-50 EV to a table value -&gt; block IRR shows the target. Or Data &gt; What-If &gt; Goal Seek.</t>
  </si>
  <si>
    <t>6 — SENSITIVITY  (engine-computed · Base scenario · Sponsor IRR)</t>
  </si>
  <si>
    <t>Table 1 — Entry EV (rows) × Exit multiple (cols)</t>
  </si>
  <si>
    <t>Entry EV €m</t>
  </si>
  <si>
    <t>12x</t>
  </si>
  <si>
    <t>13x</t>
  </si>
  <si>
    <t>15x</t>
  </si>
  <si>
    <t>17x</t>
  </si>
  <si>
    <t>19x</t>
  </si>
  <si>
    <t>To spot-check any cell: set C50 = row EV and B36 = col multiple, read C150.</t>
  </si>
  <si>
    <t>Table 2 — Leverage (rows) × Exit multiple (cols) · Entry EV held at €300m</t>
  </si>
  <si>
    <t>Leverage</t>
  </si>
  <si>
    <t>3.0x</t>
  </si>
  <si>
    <t>Leverage is nearly IRR-neutral here: the 75% sweep deleverages fast and debt costs 7.2%.</t>
  </si>
  <si>
    <t>3.5x</t>
  </si>
  <si>
    <t>4.0x</t>
  </si>
  <si>
    <t>4.5x</t>
  </si>
  <si>
    <t>5.0x</t>
  </si>
  <si>
    <t>7 — VERIFICATION  (live formulas vs engine-expected · deltas must be ~0)</t>
  </si>
  <si>
    <t>Metric</t>
  </si>
  <si>
    <t>Live</t>
  </si>
  <si>
    <t>Engine expected</t>
  </si>
  <si>
    <t>Delta</t>
  </si>
  <si>
    <t>Sponsor IRR — Bear</t>
  </si>
  <si>
    <t>If any delta is not ~0, a formula was altered or an input changed vs engine defaults.</t>
  </si>
  <si>
    <t>Sponsor IRR — Base</t>
  </si>
  <si>
    <t>Sponsor IRR — Bull</t>
  </si>
  <si>
    <t>Closing debt 2030 — Base</t>
  </si>
  <si>
    <t>Closing cash 2030 — Base</t>
  </si>
  <si>
    <t>Sponsor entry — Base</t>
  </si>
  <si>
    <t>8 — CAVEATS  (quantified at Base default EV)</t>
  </si>
  <si>
    <t>Rate +100bps (all-in 8.2%): Base IRR 22.5% -&gt; 22.4%. Spread source (S&amp;P Mar-26) is gated - reconfirm before publication.</t>
  </si>
  <si>
    <t>Exit multiple is THE dominant lever: 13x -&gt; 19.3% / 15x -&gt; 22.5% / 17x -&gt; 25.4%. Entry ~18x vs exit 15x = structural multiple compression.</t>
  </si>
  <si>
    <t>Leverage 4.5x instead of 4.0x: IRR 22.9% (nearly neutral - 75% sweep deleverages fast).</t>
  </si>
  <si>
    <t>Interest computed on OPENING debt (non-circular variant). Overstates interest ~5% yr1 to ~25% yr5 vs average-debt convention = conservative on IRR.</t>
  </si>
  <si>
    <t>Tax: statutory mechanics (25% IS + 3.3% contribution, floored at 0). CIR single-count: already in DCF EBITDA/EBIT as operating subsidy, therefore excluded from taxable income and NOT re-deducted from cash tax (double-count fixed 15-Jul-2026, audit §4.6). NOT the DCF effective rates — deliberate.</t>
  </si>
  <si>
    <t>ATAD carryforward displayed but never reused (conservative). Never binds at 4x leverage (cap ~5.1m vs charges ~3.9m yr1).</t>
  </si>
  <si>
    <t>ezyCollect contingent earn-out NOT in Uses (not provisioned, Note 29) — post-close NewCo liability if triggered. Sidetrade NOLs (7.184m unactivated, Note 24) not monetised.</t>
  </si>
  <si>
    <t>Earn-outs Amalto+CreditPoint (455k) and ezyCollect deferred (1,459k) settled at close — alternative (pay over time) would marginally improve IRR.</t>
  </si>
  <si>
    <t>Affordability and sensitivity values are engine-solved constants (blue), not formulas: the model chain is too recursive for single-cell formulas. Verification path: row 50 + Goal Seek.</t>
  </si>
  <si>
    <t>9 — SOURCES LEGEND</t>
  </si>
  <si>
    <t>CGI art. 219 (IS 25%): legifrance.gouv.fr/codes/article_lc/LEGIARTI000053542939</t>
  </si>
  <si>
    <t>CGI art. 235 ter ZC (contribution 3.3%): legifrance.gouv.fr/codes/article_lc/LEGIARTI000031011715</t>
  </si>
  <si>
    <t>CGI art. 212 bis + BOI-IS-BASE-35-40-10 (ATAD): legifrance LEGIARTI000049641637 · bofip.impots.gouv.fr/bofip/11782-PGP.html</t>
  </si>
  <si>
    <t>Sidetrade Statutory Report FY25 (KPMG/Yuma, 21-Apr-2026): Notes 6, 8, 9, 10, 13, 22, 24, 27, 29, 30</t>
  </si>
  <si>
    <t>Euribor 3M 2.373% (09-Jun-2026): euribor-rates.eu/en/current-euribor-rates/2/euribor-rate-3-months/</t>
  </si>
  <si>
    <t>TLB spread +479bps B median: S&amp;P European LevFin Monthly Mar-2026 (s101674532) — GATED, reconfirm</t>
  </si>
  <si>
    <t>Leverage 4.0x: Capstone Middle-Market LevFin Update Q1-2026 (capstonepartners.com)</t>
  </si>
  <si>
    <t>Fees: Firmex M&amp;A Fee Guide 2024-25 EU Edition · Cleary Gottlieb EU LevFin commentary</t>
  </si>
  <si>
    <t>Rollover 20-40% founder-active: Auxo Capital · Wall Street Prep · FE Training</t>
  </si>
  <si>
    <t>Novasque 35%: Sidetrade PR Feb-2026 (Briarwood Chase release)</t>
  </si>
  <si>
    <t>Engine: lbo_engine.py (project folder) — Python mirror, bisection solver, audit trail</t>
  </si>
  <si>
    <t>FOOTBALL FIELD — Enterprise Value Summary  (€m)</t>
  </si>
  <si>
    <t>Stand-alone vs. control case across four valuation methods  |  Base case = DCF Gordon Growth</t>
  </si>
  <si>
    <t>Low  (€m)</t>
  </si>
  <si>
    <t>Base  (€m)</t>
  </si>
  <si>
    <t>High  (€m)</t>
  </si>
  <si>
    <t>EV/EBITDA FY25 (Base)</t>
  </si>
  <si>
    <t>EV/Sales FY25 (Base)</t>
  </si>
  <si>
    <t>Interpretation</t>
  </si>
  <si>
    <t>DCF — stand-alone (Gordon)</t>
  </si>
  <si>
    <t>Intrinsic fundamental value; linear margin path</t>
  </si>
  <si>
    <t>Market-based, stand-alone — no control premium</t>
  </si>
  <si>
    <t>Transaction comps (control)</t>
  </si>
  <si>
    <t>Control premium ~40% vs. stand-alone; M&amp;A scenario</t>
  </si>
  <si>
    <t>Sponsor affordability (IRR 25% / 22.5% / 18%) — full LBO model, see LBO_full tab</t>
  </si>
  <si>
    <t>KEY CONCLUSIONS</t>
  </si>
  <si>
    <t>Central stand-alone EV  (€m)</t>
  </si>
  <si>
    <t>Control / M&amp;A case EV  (€m)</t>
  </si>
  <si>
    <t>Core stand-alone range  (DCF + Trading comps)  (€m)</t>
  </si>
  <si>
    <t>to</t>
  </si>
  <si>
    <t>MARKET CHECK — EV de marché Sidetrade (ALBFR) au 15/07/2026</t>
  </si>
  <si>
    <t>Cours 174,00 € (+0,35%, fourchette du jour 170,00-175,20) x 1 536 790 actions diluées + dette nette stricte 14,7. Le DCF Base (301) ressort ~7% au-dessus du marché ; le marché paie Sidetrade au-dessus du haut de fourchette des peers US dératés.</t>
  </si>
  <si>
    <t>VISUAL RANGE MAP  (0 – 600 €m scale)</t>
  </si>
  <si>
    <t>DCF</t>
  </si>
  <si>
    <t>Trading</t>
  </si>
  <si>
    <t>Tx Comps</t>
  </si>
  <si>
    <t>LBO</t>
  </si>
  <si>
    <t xml:space="preserve">  0        100       200       300       400       500       600  (€m)</t>
  </si>
  <si>
    <t>EV → EQUITY → IMPLIED SHARE PRICE  (€m unless noted)</t>
  </si>
  <si>
    <t>Net debt = FY25 actuals (strict). No pro-forma adjustments.</t>
  </si>
  <si>
    <t>ENTERPRISE VALUE — DCF Gordon Growth  (€m)</t>
  </si>
  <si>
    <t>NET DEBT BRIDGE  (€m)  — FY25 actuals, no adjustments</t>
  </si>
  <si>
    <t xml:space="preserve">  Gross financial debt</t>
  </si>
  <si>
    <t xml:space="preserve"> = €30.981m  |  FY25_base!B46</t>
  </si>
  <si>
    <t xml:space="preserve"> = –€5.402m  |  FY25_base!B47</t>
  </si>
  <si>
    <t xml:space="preserve"> = –€10.925m  |  FY25_base!B48</t>
  </si>
  <si>
    <t xml:space="preserve"> = €14.654m strict. No earn-outs (€0.5m) or deferred rev. adjustments.</t>
  </si>
  <si>
    <t>EQUITY VALUE  (€m)</t>
  </si>
  <si>
    <t>Equity Value = EV – Net Debt  (€m)</t>
  </si>
  <si>
    <t>SHARE PRICE</t>
  </si>
  <si>
    <t>Diluted shares (thousands)</t>
  </si>
  <si>
    <t xml:space="preserve"> = 1,536,790  |  FY25_base!B69 — Note 30</t>
  </si>
  <si>
    <t>Diluted shares (millions)</t>
  </si>
  <si>
    <t>Implied share price  (€ / share)</t>
  </si>
  <si>
    <t>CONTROL CASE — Transaction Comps (M&amp;A scenario)</t>
  </si>
  <si>
    <t>EV — control case  (€m)</t>
  </si>
  <si>
    <t>Equity Value — control  (€m)</t>
  </si>
  <si>
    <t>Implied share price — control  (€ / share)</t>
  </si>
  <si>
    <t>Control premium case; not a stand-alone fair value.</t>
  </si>
  <si>
    <t>SUMMARY — BASE CASE  (central stand-alone valuation)</t>
  </si>
  <si>
    <t>Enterprise Value DCF Base  (€m)</t>
  </si>
  <si>
    <t>Net Debt  (€m)</t>
  </si>
  <si>
    <t>Equity Value  (€m)</t>
  </si>
  <si>
    <t>Diluted shares  (m)</t>
  </si>
  <si>
    <t>Implied share price  (€/share)</t>
  </si>
  <si>
    <t>CAVEATS &amp; METHODOLOGICAL SENSITIVITIES</t>
  </si>
  <si>
    <t>Caveat</t>
  </si>
  <si>
    <t>Details &amp; Rationale</t>
  </si>
  <si>
    <t>EV impact (approx.)</t>
  </si>
  <si>
    <t>Recommendation</t>
  </si>
  <si>
    <t>CIR continuation risk</t>
  </si>
  <si>
    <t>Model includes €3.5m CIR flat 2026-2030 in EBITDA (= ~27% of R&amp;D spend). Risk: (1) French CIR rules tightened; (2) Sidetrade already exceeded SME threshold → 3yr deferral active; (3) R&amp;D migrates offshore. FY25 CIR €3.482m (up from €2.560m FY24) confirms growing R&amp;D. Management commits to maintaining AI R&amp;D investment.</t>
  </si>
  <si>
    <t>–€20m to –€40m EV if CIR reduced to zero</t>
  </si>
  <si>
    <t>Run a CIR-zero stress test. Flag explicitly. Upside: CIR likely grows with R&amp;D (GPU capex + agentic dev).</t>
  </si>
  <si>
    <t>EBITDA margin path</t>
  </si>
  <si>
    <t>Base case: linear 22%→32% over 5 years. O2C2030 plan targets 30-35% via: (1) AI-native gross margin 91-94%; (2) internal agentic efficiency programme (+10-15% productivity yr1); (3) subscription leverage. Front-loaded = earlier efficiency gains. Back-loaded = integration drag. Spread: ±3-5% EV quantified in Margin_path tab.</t>
  </si>
  <si>
    <t>±3-5% vs. linear base</t>
  </si>
  <si>
    <t>Linear is conservative and defensible for external use. Front-loaded internally more likely.</t>
  </si>
  <si>
    <t>Revenue growth assumptions</t>
  </si>
  <si>
    <t>Base 2026 at +17% matches Q1-2026 reported. Deceleration to 9% by 2030 reflects organic maturation offset by AI-native. Key risks: (a) macro slowing enterprise software spend; (b) ezyCollect SME segment more cyclical; (c) AI-native ramp slower than O2C2030 guidance. Resilience factors: 46.4m avg contract, 85% large enterprise, 92% subscription gross margin.</t>
  </si>
  <si>
    <t>Bear –50% EV; Bull +70% EV vs. Base</t>
  </si>
  <si>
    <t>Monitor Q2/Q3-2026. If +17% sustains, upgrade Base to Bull. Bear is genuine stress.</t>
  </si>
  <si>
    <t>ezyCollect &amp; SHS Viveon integration</t>
  </si>
  <si>
    <t>Both dilute reported margin vs. LFL (LFL EBITDA 26% vs. 22% reported). SHS fully absorbed. ezyCollect (AUS/NZ/PHL) contributes €2.2m rev + –€0.1m net income in Q4-25. Gross margin and NRR of ezyCollect not yet disclosed. Acquisition price allocation for ezyCollect not finalized until Dec-2026.</t>
  </si>
  <si>
    <t>–1 to –2 EBITDA margin pts 2026E if drag extends</t>
  </si>
  <si>
    <t>Monitor H1-2026 LFL vs. consolidated margin. Price allocation may create non-cash goodwill amortization.</t>
  </si>
  <si>
    <t>Terminal value weight</t>
  </si>
  <si>
    <t>Gordon Growth TV = 77.2% of total EV at Base (WACC 9.5%, TG 2.5%) — mechanically high with a 5-year explicit horizon (Cantor, with a much longer explicit + fade period, gets 61%). Exit-multiple cross-check at 15x gives EV ~413m, i.e. +37% ABOVE Gordon — the cross-check sits above, NOT ~10% below as previously stated (corrected 15-Jul-2026). ANCHORING of the 15x (updated 15-Jul-2026): it now sits ABOVE derated US peers (~12.6x median op-income proxy) but ~30% BELOW Sidetrade's own current market multiple (~21x EBITDA FY25 at €174/share) — the exit is anchored on the asset's own trading level, not on US peer sentiment; 12x is the stress anchor (Sensitivity/LBO tables).</t>
  </si>
  <si>
    <t>TV = 77.2% of Base EV; ±15-20% EV per ±1% WACC or TG. See Sensitivity tab.</t>
  </si>
  <si>
    <t>Present both TV methods; Gordon is primary AND the more conservative here. Improvement: extend explicit horizon (10y fade) to cut TV weight.</t>
  </si>
  <si>
    <t>Transaction comps control premium</t>
  </si>
  <si>
    <t>Esker (deal 2024: EV ~1,576m corrected, ~7.7x FY24A Sales, ~6.9x NTM per offer doc; EBITDA multiple n.d.) is best read-across. All transaction comps include 30-50% control premium vs. trading. Sidetrade discount factored via size/liquidity.</t>
  </si>
  <si>
    <t>+40% vs. stand-alone DCF</t>
  </si>
  <si>
    <t>Use €410m EV only for M&amp;A / take-private framing. Never use as stand-alone intrinsic value.</t>
  </si>
  <si>
    <t>Net debt — strict approach</t>
  </si>
  <si>
    <t>Net debt = gross financial debt €31.0m – (cash €5.4m + marketable securities €10.9m) = €14.7m. Items excluded: deferred revenue (€14m, not financial debt); operating leases (not capitalized, not material per Note 25); earn-outs Amalto €0.3m + CreditPoint €0.2m; ezyCollect acq. balance €1.5m. Total excluded: ~€16m.</t>
  </si>
  <si>
    <t>Equity +€0.5m if earn-outs excluded; –€16m if all items included</t>
  </si>
  <si>
    <t>Current approach is defensible and conservative. Disclose clearly.</t>
  </si>
  <si>
    <t>CIR deferred repayment / BFR normalization</t>
  </si>
  <si>
    <t>Sidetrade exceeded EU SME threshold → CIR deferred 3 years → €2.947m BFR drain in FY25. The normalized FCF view (+€2.947m) removes this one-off. Once 3yr deferral unwinds (from 2028), FCF will mechanically improve by €2-3m/yr. Statutory FCF (€4.2m) is the conservative floor; normalized (€7.2m) is the economic view.</t>
  </si>
  <si>
    <t>+€2-3m/yr FCF improvement from 2028</t>
  </si>
  <si>
    <t>Use normalized FCF as DCF starting point. Statutory FCF is the downside sensitivity.</t>
  </si>
  <si>
    <t>Comps refresh 15/07/2026 — peer derating</t>
  </si>
  <si>
    <t>US peers derated sharply vs H1-2025 (median fwd EV/Sales ~2.6x vs ~4.7x; op-income proxy ~12.6x vs ~30x EBITDA). Trading range falls to 171/202/264 and now sits BELOW Sidetrade's own market EV (~282 at 15-Jul-2026). Reading: the peer set is a US-sentiment floor, not the value; the market already pays Sidetrade a premium (organic growth + profitability + FR small-cap scarcity). DCF (301) vs market (282) gap is ~7% — the model's central tension is DCF/market vs peers, an assumed premium debate, not a convergence story.</t>
  </si>
  <si>
    <t>Trading range −45% vs previous refresh; DCF unchanged</t>
  </si>
  <si>
    <t>Re-refresh quotes before any external use; keep the premium-debate framing explicit in interviews.</t>
  </si>
  <si>
    <t>CHECKS — CONTRÔLES D'INTÉGRITÉ DU CLASSEUR (ajouté 15/07/2026, audit §10.3)</t>
  </si>
  <si>
    <t>Contrôle</t>
  </si>
  <si>
    <t>Valeur</t>
  </si>
  <si>
    <t>Tolérance</t>
  </si>
  <si>
    <t>Statut</t>
  </si>
  <si>
    <t>Tie-out CA FY25 = 61,416 (PR FY25 / Stat. Report Note 15)</t>
  </si>
  <si>
    <t>Tie-out EBITDA FY25 incl. CIR = 13,384 (Stat. Report p.5)</t>
  </si>
  <si>
    <t>Sources &amp; Uses LBO équilibrés — Bear</t>
  </si>
  <si>
    <t>Sources &amp; Uses LBO équilibrés — Base</t>
  </si>
  <si>
    <t>Sources &amp; Uses LBO équilibrés — Bull</t>
  </si>
  <si>
    <t>IRR live = cible 22,5% au défaut — Bear</t>
  </si>
  <si>
    <t>IRR live = cible 22,5% au défaut — Base</t>
  </si>
  <si>
    <t>IRR live = cible 22,5% au défaut — Bull</t>
  </si>
  <si>
    <t>Moteur vs formules — delta IRR Base (bloc vérification)</t>
  </si>
  <si>
    <t>Moteur vs formules — delta sponsor entry Base</t>
  </si>
  <si>
    <t>Trading comps: fourchette liée aux EV implicites (Base)</t>
  </si>
  <si>
    <t>Transaction comps: fourchette liée aux EV implicites (Base)</t>
  </si>
  <si>
    <t>WACC retenu dans la tolérance du bridge (±0,25 pt)</t>
  </si>
  <si>
    <t>Football field: LBO Base = affordability 22,5%</t>
  </si>
  <si>
    <t>STATUT GLOBAL</t>
  </si>
  <si>
    <t>Notes : les constantes engine-solved (ligne 50, affordability, sensibilités, bloc vérification de LBO_full) sont régénérées par lbo_engine.py — si un input change sans relancer le moteur, les contrôles 6-10 passent en FAIL. Dernière régénération : 15/07/2026.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</si>
</sst>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;\(#,##0.0\);\-"/>
    <numFmt numFmtId="165" formatCode="#,##0.000"/>
    <numFmt numFmtId="166" formatCode="#,##0.0"/>
    <numFmt numFmtId="167" formatCode="0.0\x"/>
    <numFmt numFmtId="168" formatCode="0.0%;\(0.0%\);\-"/>
    <numFmt numFmtId="169" formatCode="#,##0;\(#,##0\);\-"/>
    <numFmt numFmtId="170" formatCode="0.0;\-0.0;\-"/>
    <numFmt numFmtId="171" formatCode="0.0%"/>
    <numFmt numFmtId="172" formatCode="0.00\x"/>
    <numFmt numFmtId="173" formatCode="0.0&quot;x&quot;"/>
    <numFmt numFmtId="174" formatCode="0.00&quot;x&quot;"/>
    <numFmt numFmtId="175" formatCode="0.0000"/>
  </numFmts>
  <fonts count="4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b/>
      <sz val="12"/>
      <color rgb="FF000000"/>
      <name val="Arial"/>
      <charset val="1"/>
    </font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b/>
      <sz val="11"/>
      <color rgb="FF000000"/>
      <name val="Arial"/>
      <charset val="1"/>
    </font>
    <font>
      <i/>
      <sz val="10"/>
      <color rgb="FF595959"/>
      <name val="Arial"/>
      <charset val="1"/>
    </font>
    <font>
      <b/>
      <sz val="10"/>
      <color rgb="FF1F3864"/>
      <name val="Arial"/>
      <charset val="1"/>
    </font>
    <font>
      <sz val="10"/>
      <color rgb="FF008000"/>
      <name val="Arial"/>
      <charset val="1"/>
    </font>
    <font>
      <sz val="10"/>
      <color rgb="FF0000FF"/>
      <name val="Arial"/>
      <charset val="1"/>
    </font>
    <font>
      <sz val="9"/>
      <color rgb="FF000000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i/>
      <sz val="9"/>
      <color rgb="FF595959"/>
      <name val="Arial"/>
      <charset val="1"/>
    </font>
    <font>
      <b/>
      <sz val="9"/>
      <color rgb="FF1F3864"/>
      <name val="Arial"/>
      <charset val="1"/>
    </font>
    <font>
      <sz val="10"/>
      <color rgb="FF595959"/>
      <name val="Arial"/>
      <charset val="1"/>
    </font>
    <font>
      <b/>
      <i/>
      <sz val="10"/>
      <color rgb="FF1F3864"/>
      <name val="Arial"/>
      <charset val="1"/>
    </font>
    <font>
      <b/>
      <i/>
      <sz val="10"/>
      <color rgb="FFC00000"/>
      <name val="Arial"/>
      <charset val="1"/>
    </font>
    <font>
      <b/>
      <sz val="10"/>
      <color rgb="FFC00000"/>
      <name val="Arial"/>
      <charset val="1"/>
    </font>
    <font>
      <sz val="9"/>
      <color rgb="FF1F3864"/>
      <name val="Courier New"/>
      <charset val="1"/>
    </font>
    <font>
      <sz val="8"/>
      <color rgb="FF595959"/>
      <name val="Courier New"/>
      <charset val="1"/>
    </font>
    <font>
      <b/>
      <sz val="13"/>
      <color rgb="FF000000"/>
      <name val="Arial"/>
      <charset val="1"/>
    </font>
    <font>
      <b/>
      <sz val="9"/>
      <color rgb="FFC00000"/>
      <name val="Arial"/>
      <charset val="1"/>
    </font>
    <font>
      <sz val="9"/>
      <color rgb="FF00632C"/>
      <name val="Arial"/>
      <charset val="1"/>
    </font>
    <font>
      <b/>
      <sz val="14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i/>
      <sz val="9"/>
      <color rgb="FFC00000"/>
      <name val="Arial"/>
    </font>
    <font>
      <b/>
      <sz val="11"/>
      <name val="Calibri"/>
    </font>
    <font>
      <sz val="11"/>
      <color rgb="FF0000FF"/>
      <name val="Calibri"/>
    </font>
    <font>
      <i/>
      <sz val="9"/>
      <color rgb="FF808080"/>
      <name val="Calibri"/>
    </font>
    <font>
      <b/>
      <sz val="13"/>
      <color rgb="FF1F3864"/>
      <name val="Calibri"/>
    </font>
    <font>
      <b/>
      <sz val="11"/>
      <color rgb="FFFFFFFF"/>
      <name val="Calibri"/>
    </font>
    <font>
      <i/>
      <sz val="9"/>
      <color rgb="FF808080"/>
      <name val="Calibri"/>
    </font>
    <font>
      <sz val="11"/>
      <name val="Calibri"/>
    </font>
    <font>
      <sz val="11"/>
      <color rgb="FF0000FF"/>
      <name val="Calibri"/>
    </font>
    <font>
      <sz val="11"/>
      <color rgb="FF008000"/>
      <name val="Calibri"/>
    </font>
    <font>
      <i/>
      <sz val="8"/>
      <color rgb="FF808080"/>
      <name val="Calibri"/>
    </font>
    <font>
      <b/>
      <sz val="12"/>
      <color rgb="FFC00000"/>
      <name val="Calibri"/>
    </font>
    <font>
      <i/>
      <sz val="10"/>
      <color rgb="FFC0000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2CC"/>
        <bgColor rgb="FFFCE4D6"/>
      </patternFill>
    </fill>
    <fill>
      <patternFill patternType="solid">
        <fgColor rgb="FFDCE6F1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DEEAF1"/>
        <bgColor rgb="FFDCE6F1"/>
      </patternFill>
    </fill>
    <fill>
      <patternFill patternType="solid">
        <fgColor rgb="FFFFCCCC"/>
        <bgColor rgb="FFFCE4D6"/>
      </patternFill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4E7E7"/>
      </patternFill>
    </fill>
    <fill>
      <patternFill patternType="solid">
        <fgColor rgb="FFFFFF00"/>
      </patternFill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15" fillId="3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 wrapText="1"/>
    </xf>
    <xf numFmtId="0" fontId="13" fillId="8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4" fontId="5" fillId="4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6" fillId="5" borderId="0" xfId="0" applyNumberFormat="1" applyFont="1" applyFill="1" applyAlignment="1">
      <alignment horizontal="center" vertical="center"/>
    </xf>
    <xf numFmtId="165" fontId="6" fillId="5" borderId="0" xfId="0" applyNumberFormat="1" applyFont="1" applyFill="1" applyAlignment="1">
      <alignment horizontal="center" vertical="center"/>
    </xf>
    <xf numFmtId="166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/>
    <xf numFmtId="0" fontId="9" fillId="0" borderId="0" xfId="0" applyFont="1"/>
    <xf numFmtId="0" fontId="10" fillId="6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164" fontId="11" fillId="8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left" vertical="center" wrapText="1"/>
    </xf>
    <xf numFmtId="0" fontId="4" fillId="9" borderId="0" xfId="0" applyFont="1" applyFill="1" applyAlignment="1">
      <alignment horizontal="left" vertical="center"/>
    </xf>
    <xf numFmtId="164" fontId="11" fillId="9" borderId="0" xfId="0" applyNumberFormat="1" applyFont="1" applyFill="1" applyAlignment="1">
      <alignment horizontal="center" vertical="center"/>
    </xf>
    <xf numFmtId="0" fontId="9" fillId="9" borderId="0" xfId="0" applyFont="1" applyFill="1" applyAlignment="1">
      <alignment horizontal="left" vertical="center" wrapText="1"/>
    </xf>
    <xf numFmtId="167" fontId="11" fillId="5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0" fontId="0" fillId="8" borderId="0" xfId="0" applyFill="1"/>
    <xf numFmtId="0" fontId="9" fillId="0" borderId="0" xfId="0" applyFont="1" applyAlignment="1">
      <alignment horizontal="left" vertical="center" wrapText="1"/>
    </xf>
    <xf numFmtId="0" fontId="6" fillId="9" borderId="0" xfId="0" applyFont="1" applyFill="1" applyAlignment="1">
      <alignment horizontal="left" vertical="center"/>
    </xf>
    <xf numFmtId="0" fontId="0" fillId="9" borderId="0" xfId="0" applyFill="1"/>
    <xf numFmtId="168" fontId="11" fillId="8" borderId="0" xfId="0" applyNumberFormat="1" applyFont="1" applyFill="1" applyAlignment="1">
      <alignment horizontal="center" vertical="center"/>
    </xf>
    <xf numFmtId="168" fontId="12" fillId="9" borderId="0" xfId="0" applyNumberFormat="1" applyFont="1" applyFill="1"/>
    <xf numFmtId="165" fontId="11" fillId="9" borderId="0" xfId="0" applyNumberFormat="1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164" fontId="12" fillId="0" borderId="0" xfId="0" applyNumberFormat="1" applyFont="1"/>
    <xf numFmtId="168" fontId="6" fillId="0" borderId="0" xfId="0" applyNumberFormat="1" applyFont="1"/>
    <xf numFmtId="168" fontId="12" fillId="0" borderId="0" xfId="0" applyNumberFormat="1" applyFont="1"/>
    <xf numFmtId="0" fontId="6" fillId="11" borderId="0" xfId="0" applyFont="1" applyFill="1" applyAlignment="1">
      <alignment horizontal="left" vertical="center"/>
    </xf>
    <xf numFmtId="164" fontId="12" fillId="11" borderId="0" xfId="0" applyNumberFormat="1" applyFont="1" applyFill="1"/>
    <xf numFmtId="0" fontId="9" fillId="11" borderId="0" xfId="0" applyFont="1" applyFill="1" applyAlignment="1">
      <alignment horizontal="left" vertical="center" wrapText="1"/>
    </xf>
    <xf numFmtId="167" fontId="12" fillId="0" borderId="0" xfId="0" applyNumberFormat="1" applyFont="1"/>
    <xf numFmtId="167" fontId="6" fillId="0" borderId="0" xfId="0" applyNumberFormat="1" applyFont="1"/>
    <xf numFmtId="169" fontId="12" fillId="8" borderId="0" xfId="0" applyNumberFormat="1" applyFont="1" applyFill="1"/>
    <xf numFmtId="169" fontId="12" fillId="9" borderId="0" xfId="0" applyNumberFormat="1" applyFont="1" applyFill="1"/>
    <xf numFmtId="169" fontId="6" fillId="0" borderId="0" xfId="0" applyNumberFormat="1" applyFont="1"/>
    <xf numFmtId="169" fontId="12" fillId="0" borderId="0" xfId="0" applyNumberFormat="1" applyFont="1"/>
    <xf numFmtId="0" fontId="4" fillId="4" borderId="0" xfId="0" applyFont="1" applyFill="1" applyAlignment="1">
      <alignment horizontal="left" vertical="center"/>
    </xf>
    <xf numFmtId="169" fontId="4" fillId="4" borderId="0" xfId="0" applyNumberFormat="1" applyFont="1" applyFill="1"/>
    <xf numFmtId="169" fontId="6" fillId="4" borderId="0" xfId="0" applyNumberFormat="1" applyFont="1" applyFill="1"/>
    <xf numFmtId="0" fontId="9" fillId="4" borderId="0" xfId="0" applyFont="1" applyFill="1" applyAlignment="1">
      <alignment horizontal="left" vertical="center" wrapText="1"/>
    </xf>
    <xf numFmtId="164" fontId="6" fillId="0" borderId="0" xfId="0" applyNumberFormat="1" applyFont="1"/>
    <xf numFmtId="164" fontId="4" fillId="4" borderId="0" xfId="0" applyNumberFormat="1" applyFont="1" applyFill="1"/>
    <xf numFmtId="0" fontId="0" fillId="4" borderId="0" xfId="0" applyFill="1"/>
    <xf numFmtId="0" fontId="17" fillId="0" borderId="0" xfId="0" applyFont="1"/>
    <xf numFmtId="0" fontId="18" fillId="6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164" fontId="6" fillId="7" borderId="0" xfId="0" applyNumberFormat="1" applyFont="1" applyFill="1"/>
    <xf numFmtId="170" fontId="6" fillId="0" borderId="0" xfId="0" applyNumberFormat="1" applyFont="1"/>
    <xf numFmtId="171" fontId="15" fillId="3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7" fontId="15" fillId="3" borderId="0" xfId="0" applyNumberFormat="1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20" fillId="0" borderId="0" xfId="0" applyFont="1"/>
    <xf numFmtId="0" fontId="6" fillId="7" borderId="0" xfId="0" applyFont="1" applyFill="1" applyAlignment="1">
      <alignment horizontal="left" vertical="center"/>
    </xf>
    <xf numFmtId="164" fontId="12" fillId="7" borderId="0" xfId="0" applyNumberFormat="1" applyFont="1" applyFill="1"/>
    <xf numFmtId="167" fontId="6" fillId="7" borderId="0" xfId="0" applyNumberFormat="1" applyFont="1" applyFill="1"/>
    <xf numFmtId="0" fontId="9" fillId="7" borderId="0" xfId="0" applyFont="1" applyFill="1" applyAlignment="1">
      <alignment horizontal="left" vertical="center" wrapText="1"/>
    </xf>
    <xf numFmtId="164" fontId="12" fillId="9" borderId="0" xfId="0" applyNumberFormat="1" applyFont="1" applyFill="1"/>
    <xf numFmtId="167" fontId="6" fillId="9" borderId="0" xfId="0" applyNumberFormat="1" applyFont="1" applyFill="1"/>
    <xf numFmtId="0" fontId="4" fillId="7" borderId="0" xfId="0" applyFont="1" applyFill="1" applyAlignment="1">
      <alignment horizontal="left" vertical="center"/>
    </xf>
    <xf numFmtId="164" fontId="11" fillId="0" borderId="0" xfId="0" applyNumberFormat="1" applyFont="1"/>
    <xf numFmtId="0" fontId="21" fillId="0" borderId="0" xfId="0" applyFont="1"/>
    <xf numFmtId="1" fontId="12" fillId="7" borderId="0" xfId="0" applyNumberFormat="1" applyFont="1" applyFill="1"/>
    <xf numFmtId="1" fontId="12" fillId="9" borderId="0" xfId="0" applyNumberFormat="1" applyFont="1" applyFill="1"/>
    <xf numFmtId="0" fontId="10" fillId="0" borderId="0" xfId="0" applyFont="1"/>
    <xf numFmtId="0" fontId="22" fillId="0" borderId="0" xfId="0" applyFont="1"/>
    <xf numFmtId="168" fontId="11" fillId="0" borderId="0" xfId="0" applyNumberFormat="1" applyFont="1"/>
    <xf numFmtId="167" fontId="11" fillId="0" borderId="0" xfId="0" applyNumberFormat="1" applyFont="1"/>
    <xf numFmtId="1" fontId="12" fillId="0" borderId="0" xfId="0" applyNumberFormat="1" applyFont="1"/>
    <xf numFmtId="172" fontId="6" fillId="0" borderId="0" xfId="0" applyNumberFormat="1" applyFont="1"/>
    <xf numFmtId="168" fontId="4" fillId="4" borderId="0" xfId="0" applyNumberFormat="1" applyFont="1" applyFill="1"/>
    <xf numFmtId="164" fontId="12" fillId="4" borderId="0" xfId="0" applyNumberFormat="1" applyFont="1" applyFill="1"/>
    <xf numFmtId="0" fontId="4" fillId="10" borderId="0" xfId="0" applyFont="1" applyFill="1" applyAlignment="1">
      <alignment horizontal="left" vertical="center"/>
    </xf>
    <xf numFmtId="164" fontId="11" fillId="10" borderId="0" xfId="0" applyNumberFormat="1" applyFont="1" applyFill="1"/>
    <xf numFmtId="167" fontId="6" fillId="10" borderId="0" xfId="0" applyNumberFormat="1" applyFont="1" applyFill="1"/>
    <xf numFmtId="0" fontId="19" fillId="10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164" fontId="11" fillId="5" borderId="0" xfId="0" applyNumberFormat="1" applyFont="1" applyFill="1"/>
    <xf numFmtId="167" fontId="6" fillId="5" borderId="0" xfId="0" applyNumberFormat="1" applyFont="1" applyFill="1"/>
    <xf numFmtId="0" fontId="19" fillId="5" borderId="0" xfId="0" applyFont="1" applyFill="1" applyAlignment="1">
      <alignment horizontal="left" vertical="center"/>
    </xf>
    <xf numFmtId="164" fontId="11" fillId="4" borderId="0" xfId="0" applyNumberFormat="1" applyFont="1" applyFill="1"/>
    <xf numFmtId="167" fontId="6" fillId="4" borderId="0" xfId="0" applyNumberFormat="1" applyFont="1" applyFill="1"/>
    <xf numFmtId="0" fontId="19" fillId="4" borderId="0" xfId="0" applyFont="1" applyFill="1" applyAlignment="1">
      <alignment horizontal="left" vertical="center"/>
    </xf>
    <xf numFmtId="164" fontId="11" fillId="7" borderId="0" xfId="0" applyNumberFormat="1" applyFont="1" applyFill="1"/>
    <xf numFmtId="0" fontId="19" fillId="7" borderId="0" xfId="0" applyFont="1" applyFill="1" applyAlignment="1">
      <alignment horizontal="left" vertical="center"/>
    </xf>
    <xf numFmtId="0" fontId="0" fillId="0" borderId="1" xfId="0" applyBorder="1"/>
    <xf numFmtId="164" fontId="5" fillId="4" borderId="0" xfId="0" applyNumberFormat="1" applyFont="1" applyFill="1"/>
    <xf numFmtId="0" fontId="10" fillId="0" borderId="0" xfId="0" applyFont="1" applyAlignment="1">
      <alignment horizontal="left" vertical="center"/>
    </xf>
    <xf numFmtId="0" fontId="4" fillId="0" borderId="0" xfId="0" applyFont="1"/>
    <xf numFmtId="0" fontId="23" fillId="0" borderId="0" xfId="0" applyFont="1"/>
    <xf numFmtId="0" fontId="19" fillId="0" borderId="0" xfId="0" applyFont="1"/>
    <xf numFmtId="0" fontId="24" fillId="0" borderId="0" xfId="0" applyFont="1"/>
    <xf numFmtId="164" fontId="6" fillId="4" borderId="0" xfId="0" applyNumberFormat="1" applyFont="1" applyFill="1"/>
    <xf numFmtId="169" fontId="11" fillId="0" borderId="0" xfId="0" applyNumberFormat="1" applyFont="1"/>
    <xf numFmtId="165" fontId="6" fillId="0" borderId="0" xfId="0" applyNumberFormat="1" applyFont="1"/>
    <xf numFmtId="166" fontId="25" fillId="4" borderId="0" xfId="0" applyNumberFormat="1" applyFont="1" applyFill="1"/>
    <xf numFmtId="164" fontId="4" fillId="10" borderId="0" xfId="0" applyNumberFormat="1" applyFont="1" applyFill="1"/>
    <xf numFmtId="165" fontId="4" fillId="10" borderId="0" xfId="0" applyNumberFormat="1" applyFont="1" applyFill="1"/>
    <xf numFmtId="166" fontId="4" fillId="10" borderId="0" xfId="0" applyNumberFormat="1" applyFont="1" applyFill="1"/>
    <xf numFmtId="0" fontId="10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 wrapText="1"/>
    </xf>
    <xf numFmtId="0" fontId="27" fillId="8" borderId="0" xfId="0" applyFont="1" applyFill="1" applyAlignment="1">
      <alignment horizontal="left" vertical="center" wrapText="1"/>
    </xf>
    <xf numFmtId="0" fontId="10" fillId="9" borderId="0" xfId="0" applyFont="1" applyFill="1" applyAlignment="1">
      <alignment horizontal="left" vertical="center" wrapText="1"/>
    </xf>
    <xf numFmtId="0" fontId="26" fillId="9" borderId="0" xfId="0" applyFont="1" applyFill="1" applyAlignment="1">
      <alignment horizontal="left" vertical="center" wrapText="1"/>
    </xf>
    <xf numFmtId="0" fontId="27" fillId="9" borderId="0" xfId="0" applyFont="1" applyFill="1" applyAlignment="1">
      <alignment horizontal="left" vertical="center" wrapText="1"/>
    </xf>
    <xf numFmtId="0" fontId="28" fillId="0" borderId="0" xfId="0" applyFont="1"/>
    <xf numFmtId="0" fontId="29" fillId="0" borderId="0" xfId="0" applyFont="1"/>
    <xf numFmtId="0" fontId="30" fillId="12" borderId="0" xfId="0" applyFont="1" applyFill="1"/>
    <xf numFmtId="0" fontId="0" fillId="12" borderId="0" xfId="0" applyFill="1"/>
    <xf numFmtId="0" fontId="31" fillId="13" borderId="0" xfId="0" applyFont="1" applyFill="1"/>
    <xf numFmtId="0" fontId="0" fillId="13" borderId="0" xfId="0" applyFill="1"/>
    <xf numFmtId="0" fontId="32" fillId="0" borderId="0" xfId="0" applyFont="1"/>
    <xf numFmtId="10" fontId="33" fillId="0" borderId="0" xfId="0" applyNumberFormat="1" applyFont="1"/>
    <xf numFmtId="10" fontId="32" fillId="0" borderId="0" xfId="0" applyNumberFormat="1" applyFont="1"/>
    <xf numFmtId="173" fontId="33" fillId="0" borderId="0" xfId="0" applyNumberFormat="1" applyFont="1"/>
    <xf numFmtId="166" fontId="34" fillId="0" borderId="0" xfId="0" applyNumberFormat="1" applyFont="1"/>
    <xf numFmtId="166" fontId="33" fillId="0" borderId="0" xfId="0" applyNumberFormat="1" applyFont="1"/>
    <xf numFmtId="1" fontId="33" fillId="0" borderId="0" xfId="0" applyNumberFormat="1" applyFont="1"/>
    <xf numFmtId="166" fontId="32" fillId="0" borderId="0" xfId="0" applyNumberFormat="1" applyFont="1"/>
    <xf numFmtId="0" fontId="31" fillId="0" borderId="0" xfId="0" applyFont="1"/>
    <xf numFmtId="166" fontId="31" fillId="0" borderId="0" xfId="0" applyNumberFormat="1" applyFont="1"/>
    <xf numFmtId="166" fontId="31" fillId="14" borderId="0" xfId="0" applyNumberFormat="1" applyFont="1" applyFill="1"/>
    <xf numFmtId="173" fontId="32" fillId="0" borderId="0" xfId="0" applyNumberFormat="1" applyFont="1"/>
    <xf numFmtId="10" fontId="31" fillId="0" borderId="0" xfId="0" applyNumberFormat="1" applyFont="1"/>
    <xf numFmtId="174" fontId="32" fillId="0" borderId="0" xfId="0" applyNumberFormat="1" applyFont="1"/>
    <xf numFmtId="171" fontId="32" fillId="0" borderId="0" xfId="0" applyNumberFormat="1" applyFont="1"/>
    <xf numFmtId="171" fontId="31" fillId="0" borderId="0" xfId="0" applyNumberFormat="1" applyFont="1"/>
    <xf numFmtId="166" fontId="32" fillId="14" borderId="0" xfId="0" applyNumberFormat="1" applyFont="1" applyFill="1"/>
    <xf numFmtId="166" fontId="33" fillId="15" borderId="0" xfId="0" applyNumberFormat="1" applyFont="1" applyFill="1"/>
    <xf numFmtId="171" fontId="32" fillId="15" borderId="0" xfId="0" applyNumberFormat="1" applyFont="1" applyFill="1"/>
    <xf numFmtId="171" fontId="33" fillId="0" borderId="0" xfId="0" applyNumberFormat="1" applyFont="1"/>
    <xf numFmtId="171" fontId="32" fillId="14" borderId="0" xfId="0" applyNumberFormat="1" applyFont="1" applyFill="1"/>
    <xf numFmtId="0" fontId="35" fillId="0" borderId="0" xfId="0" applyFont="1"/>
    <xf numFmtId="0" fontId="36" fillId="0" borderId="0" xfId="0" applyFont="1"/>
    <xf numFmtId="10" fontId="37" fillId="0" borderId="0" xfId="0" applyNumberFormat="1" applyFont="1"/>
    <xf numFmtId="0" fontId="38" fillId="0" borderId="0" xfId="0" applyFont="1"/>
    <xf numFmtId="2" fontId="37" fillId="0" borderId="0" xfId="0" applyNumberFormat="1" applyFont="1"/>
    <xf numFmtId="10" fontId="0" fillId="0" borderId="0" xfId="0" applyNumberFormat="1"/>
    <xf numFmtId="10" fontId="0" fillId="16" borderId="0" xfId="0" applyNumberFormat="1" applyFill="1"/>
    <xf numFmtId="0" fontId="39" fillId="0" borderId="0" xfId="0" applyFont="1"/>
    <xf numFmtId="0" fontId="40" fillId="17" borderId="0" xfId="0" applyFont="1" applyFill="1"/>
    <xf numFmtId="175" fontId="0" fillId="0" borderId="0" xfId="0" applyNumberFormat="1"/>
    <xf numFmtId="0" fontId="36" fillId="18" borderId="0" xfId="0" applyFont="1" applyFill="1"/>
    <xf numFmtId="0" fontId="41" fillId="0" borderId="0" xfId="0" applyFont="1"/>
    <xf numFmtId="0" fontId="36" fillId="2" borderId="0" xfId="0" applyFont="1" applyFill="1" applyAlignment="1">
      <alignment horizontal="center" vertical="center"/>
    </xf>
    <xf numFmtId="0" fontId="42" fillId="7" borderId="0" xfId="0" applyFont="1" applyFill="1" applyAlignment="1">
      <alignment horizontal="left" vertical="center"/>
    </xf>
    <xf numFmtId="2" fontId="43" fillId="7" borderId="0" xfId="0" applyNumberFormat="1" applyFont="1" applyFill="1" applyAlignment="1">
      <alignment horizontal="left" vertical="center"/>
    </xf>
    <xf numFmtId="3" fontId="43" fillId="7" borderId="0" xfId="0" applyNumberFormat="1" applyFont="1" applyFill="1"/>
    <xf numFmtId="166" fontId="43" fillId="7" borderId="0" xfId="0" applyNumberFormat="1" applyFont="1" applyFill="1"/>
    <xf numFmtId="172" fontId="42" fillId="7" borderId="0" xfId="0" applyNumberFormat="1" applyFont="1" applyFill="1"/>
    <xf numFmtId="167" fontId="42" fillId="7" borderId="0" xfId="0" applyNumberFormat="1" applyFont="1" applyFill="1"/>
    <xf numFmtId="0" fontId="41" fillId="7" borderId="0" xfId="0" applyFont="1" applyFill="1" applyAlignment="1">
      <alignment horizontal="left" vertical="center" wrapText="1"/>
    </xf>
    <xf numFmtId="0" fontId="42" fillId="9" borderId="0" xfId="0" applyFont="1" applyFill="1" applyAlignment="1">
      <alignment horizontal="left" vertical="center"/>
    </xf>
    <xf numFmtId="2" fontId="43" fillId="9" borderId="0" xfId="0" applyNumberFormat="1" applyFont="1" applyFill="1" applyAlignment="1">
      <alignment horizontal="left" vertical="center"/>
    </xf>
    <xf numFmtId="3" fontId="43" fillId="9" borderId="0" xfId="0" applyNumberFormat="1" applyFont="1" applyFill="1"/>
    <xf numFmtId="166" fontId="43" fillId="9" borderId="0" xfId="0" applyNumberFormat="1" applyFont="1" applyFill="1"/>
    <xf numFmtId="172" fontId="42" fillId="9" borderId="0" xfId="0" applyNumberFormat="1" applyFont="1" applyFill="1"/>
    <xf numFmtId="167" fontId="42" fillId="9" borderId="0" xfId="0" applyNumberFormat="1" applyFont="1" applyFill="1"/>
    <xf numFmtId="0" fontId="41" fillId="9" borderId="0" xfId="0" applyFont="1" applyFill="1" applyAlignment="1">
      <alignment horizontal="left" vertical="center" wrapText="1"/>
    </xf>
    <xf numFmtId="0" fontId="42" fillId="0" borderId="0" xfId="0" applyFont="1" applyAlignment="1">
      <alignment horizontal="left" vertical="center"/>
    </xf>
    <xf numFmtId="172" fontId="42" fillId="0" borderId="0" xfId="0" applyNumberFormat="1" applyFont="1"/>
    <xf numFmtId="167" fontId="42" fillId="0" borderId="0" xfId="0" applyNumberFormat="1" applyFont="1"/>
    <xf numFmtId="166" fontId="44" fillId="0" borderId="0" xfId="0" applyNumberFormat="1" applyFont="1"/>
    <xf numFmtId="0" fontId="36" fillId="0" borderId="0" xfId="0" applyFont="1" applyAlignment="1">
      <alignment horizontal="left" vertical="center"/>
    </xf>
    <xf numFmtId="0" fontId="36" fillId="5" borderId="0" xfId="0" applyFont="1" applyFill="1" applyAlignment="1">
      <alignment horizontal="center" vertical="center"/>
    </xf>
    <xf numFmtId="3" fontId="42" fillId="0" borderId="0" xfId="0" applyNumberFormat="1" applyFont="1"/>
    <xf numFmtId="3" fontId="36" fillId="19" borderId="0" xfId="0" applyNumberFormat="1" applyFont="1" applyFill="1"/>
    <xf numFmtId="0" fontId="41" fillId="0" borderId="0" xfId="0" applyFont="1" applyAlignment="1">
      <alignment horizontal="left" vertical="center" wrapText="1"/>
    </xf>
    <xf numFmtId="166" fontId="42" fillId="0" borderId="0" xfId="0" applyNumberFormat="1" applyFont="1"/>
    <xf numFmtId="0" fontId="42" fillId="0" borderId="0" xfId="0" applyFont="1"/>
    <xf numFmtId="0" fontId="45" fillId="0" borderId="0" xfId="0" applyFont="1"/>
    <xf numFmtId="0" fontId="47" fillId="0" borderId="0" xfId="0" applyFont="1"/>
    <xf numFmtId="0" fontId="16" fillId="3" borderId="0" xfId="0" applyFont="1" applyFill="1" applyAlignment="1">
      <alignment horizontal="left" vertical="center"/>
    </xf>
    <xf numFmtId="0" fontId="0" fillId="0" borderId="0" xfId="0"/>
    <xf numFmtId="0" fontId="46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0" fontId="36" fillId="2" borderId="0" xfId="0" applyFont="1" applyFill="1" applyAlignment="1">
      <alignment horizontal="left" vertical="center"/>
    </xf>
    <xf numFmtId="0" fontId="36" fillId="3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32C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CE4D6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42" customWidth="1"/>
    <col min="2" max="4" width="22" customWidth="1"/>
    <col min="5" max="5" width="28" customWidth="1"/>
  </cols>
  <sheetData>
    <row r="1" spans="1:5" ht="33.75" customHeight="1" x14ac:dyDescent="0.25">
      <c r="A1" s="192" t="s">
        <v>47</v>
      </c>
      <c r="B1" s="185"/>
      <c r="C1" s="185"/>
      <c r="D1" s="185"/>
      <c r="E1" s="185"/>
    </row>
    <row r="2" spans="1:5" ht="19.5" customHeight="1" x14ac:dyDescent="0.25">
      <c r="A2" s="191" t="s">
        <v>48</v>
      </c>
      <c r="B2" s="185"/>
      <c r="C2" s="185"/>
      <c r="D2" s="185"/>
      <c r="E2" s="185"/>
    </row>
    <row r="4" spans="1:5" ht="18" customHeight="1" x14ac:dyDescent="0.25">
      <c r="A4" s="187" t="s">
        <v>49</v>
      </c>
      <c r="B4" s="185"/>
      <c r="C4" s="185"/>
      <c r="D4" s="185"/>
      <c r="E4" s="185"/>
    </row>
    <row r="5" spans="1:5" ht="19.5" customHeight="1" x14ac:dyDescent="0.25">
      <c r="A5" s="7" t="s">
        <v>50</v>
      </c>
      <c r="B5" s="8">
        <f>DCF!R34</f>
        <v>301.19452616107958</v>
      </c>
      <c r="C5" s="8">
        <f>DCF!R34</f>
        <v>301.19452616107958</v>
      </c>
      <c r="D5" s="8">
        <f>DCF!R34</f>
        <v>301.19452616107958</v>
      </c>
    </row>
    <row r="6" spans="1:5" ht="15.75" customHeight="1" x14ac:dyDescent="0.25">
      <c r="A6" s="9" t="s">
        <v>51</v>
      </c>
      <c r="B6" s="10">
        <f>FY25_base!B49</f>
        <v>14.654</v>
      </c>
      <c r="C6" s="10">
        <f>FY25_base!B49</f>
        <v>14.654</v>
      </c>
      <c r="D6" s="10">
        <f>FY25_base!B49</f>
        <v>14.654</v>
      </c>
    </row>
    <row r="7" spans="1:5" ht="19.5" customHeight="1" x14ac:dyDescent="0.25">
      <c r="A7" s="7" t="s">
        <v>52</v>
      </c>
      <c r="B7" s="8">
        <f>Equity_bridge!C15</f>
        <v>286.54052616107958</v>
      </c>
      <c r="C7" s="8">
        <f>Equity_bridge!C15</f>
        <v>286.54052616107958</v>
      </c>
      <c r="D7" s="8">
        <f>Equity_bridge!C15</f>
        <v>286.54052616107958</v>
      </c>
    </row>
    <row r="8" spans="1:5" ht="15.75" customHeight="1" x14ac:dyDescent="0.25">
      <c r="A8" s="9" t="s">
        <v>53</v>
      </c>
      <c r="B8" s="11">
        <f>Equity_bridge!C19</f>
        <v>1.5367900000000001</v>
      </c>
      <c r="C8" s="11">
        <f>Equity_bridge!C19</f>
        <v>1.5367900000000001</v>
      </c>
      <c r="D8" s="11">
        <f>Equity_bridge!C19</f>
        <v>1.5367900000000001</v>
      </c>
    </row>
    <row r="9" spans="1:5" ht="19.5" customHeight="1" x14ac:dyDescent="0.25">
      <c r="A9" s="7" t="s">
        <v>54</v>
      </c>
      <c r="B9" s="12">
        <f>Equity_bridge!C20</f>
        <v>186.45392419333777</v>
      </c>
      <c r="C9" s="12">
        <f>Equity_bridge!C20</f>
        <v>186.45392419333777</v>
      </c>
      <c r="D9" s="12">
        <f>Equity_bridge!C20</f>
        <v>186.45392419333777</v>
      </c>
    </row>
    <row r="11" spans="1:5" x14ac:dyDescent="0.25">
      <c r="A11" s="187" t="s">
        <v>55</v>
      </c>
      <c r="B11" s="185"/>
      <c r="C11" s="185"/>
      <c r="D11" s="185"/>
      <c r="E11" s="185"/>
    </row>
    <row r="12" spans="1:5" ht="18" customHeight="1" x14ac:dyDescent="0.25">
      <c r="A12" s="9" t="s">
        <v>56</v>
      </c>
      <c r="B12" s="13">
        <f>Transaction_comps!F27</f>
        <v>411</v>
      </c>
      <c r="C12" s="14" t="s">
        <v>57</v>
      </c>
    </row>
    <row r="14" spans="1:5" ht="18" customHeight="1" x14ac:dyDescent="0.25">
      <c r="A14" s="187" t="s">
        <v>58</v>
      </c>
      <c r="B14" s="185"/>
      <c r="C14" s="185"/>
      <c r="D14" s="185"/>
      <c r="E14" s="185"/>
    </row>
    <row r="15" spans="1:5" x14ac:dyDescent="0.25">
      <c r="B15" s="15" t="s">
        <v>59</v>
      </c>
      <c r="C15" s="16" t="s">
        <v>60</v>
      </c>
      <c r="D15" s="17" t="s">
        <v>61</v>
      </c>
      <c r="E15" s="18" t="s">
        <v>62</v>
      </c>
    </row>
    <row r="16" spans="1:5" ht="26.45" customHeight="1" x14ac:dyDescent="0.25">
      <c r="A16" s="19" t="s">
        <v>63</v>
      </c>
      <c r="B16" s="20">
        <f>DCF!Q34</f>
        <v>157.92188754137794</v>
      </c>
      <c r="C16" s="20">
        <f>DCF!R34</f>
        <v>301.19452616107958</v>
      </c>
      <c r="D16" s="20">
        <f>DCF!S34</f>
        <v>497.11513516286425</v>
      </c>
      <c r="E16" s="21" t="s">
        <v>64</v>
      </c>
    </row>
    <row r="17" spans="1:5" ht="26.45" customHeight="1" x14ac:dyDescent="0.25">
      <c r="A17" s="22" t="s">
        <v>65</v>
      </c>
      <c r="B17" s="23">
        <f>Trading_comps!E26</f>
        <v>171</v>
      </c>
      <c r="C17" s="23">
        <f>Trading_comps!F26</f>
        <v>202</v>
      </c>
      <c r="D17" s="23">
        <f>Trading_comps!G26</f>
        <v>264</v>
      </c>
      <c r="E17" s="24" t="s">
        <v>66</v>
      </c>
    </row>
    <row r="18" spans="1:5" x14ac:dyDescent="0.25">
      <c r="A18" s="19" t="s">
        <v>67</v>
      </c>
      <c r="B18" s="20">
        <f>Transaction_comps!E27</f>
        <v>289</v>
      </c>
      <c r="C18" s="20">
        <f>Transaction_comps!F27</f>
        <v>411</v>
      </c>
      <c r="D18" s="20">
        <f>Transaction_comps!G27</f>
        <v>547</v>
      </c>
      <c r="E18" s="21" t="s">
        <v>68</v>
      </c>
    </row>
    <row r="19" spans="1:5" x14ac:dyDescent="0.25">
      <c r="A19" s="22" t="s">
        <v>69</v>
      </c>
      <c r="B19" s="23">
        <f>LBO_full!D199</f>
        <v>222.5</v>
      </c>
      <c r="C19" s="23">
        <f>LBO_full!C199</f>
        <v>241.9</v>
      </c>
      <c r="D19" s="23">
        <f>LBO_full!B199</f>
        <v>283.5</v>
      </c>
      <c r="E19" s="24" t="s">
        <v>70</v>
      </c>
    </row>
    <row r="21" spans="1:5" ht="18" customHeight="1" x14ac:dyDescent="0.25">
      <c r="A21" s="187" t="s">
        <v>71</v>
      </c>
      <c r="B21" s="185"/>
      <c r="C21" s="185"/>
      <c r="D21" s="185"/>
      <c r="E21" s="185"/>
    </row>
    <row r="22" spans="1:5" x14ac:dyDescent="0.25">
      <c r="A22" s="9" t="s">
        <v>72</v>
      </c>
      <c r="B22" s="25">
        <f>DCF!R34/Inputs!B7</f>
        <v>22.504073980953343</v>
      </c>
    </row>
    <row r="23" spans="1:5" x14ac:dyDescent="0.25">
      <c r="A23" s="9" t="s">
        <v>73</v>
      </c>
      <c r="B23" s="25">
        <f>DCF!R34/Inputs!B6</f>
        <v>4.9041703491122766</v>
      </c>
    </row>
    <row r="24" spans="1:5" x14ac:dyDescent="0.25">
      <c r="A24" s="9" t="s">
        <v>74</v>
      </c>
      <c r="B24" s="25">
        <f>DCF!R34/DCF!C12</f>
        <v>17.586713635926603</v>
      </c>
    </row>
    <row r="25" spans="1:5" x14ac:dyDescent="0.25">
      <c r="A25" s="9" t="s">
        <v>75</v>
      </c>
      <c r="B25" s="25">
        <f>DCF!R34/DCF!C7</f>
        <v>4.1915985889848519</v>
      </c>
    </row>
    <row r="27" spans="1:5" ht="18" customHeight="1" x14ac:dyDescent="0.25">
      <c r="A27" s="187" t="s">
        <v>76</v>
      </c>
      <c r="B27" s="185"/>
      <c r="C27" s="185"/>
      <c r="D27" s="185"/>
      <c r="E27" s="185"/>
    </row>
    <row r="28" spans="1:5" ht="26.45" customHeight="1" x14ac:dyDescent="0.25">
      <c r="A28" s="26" t="s">
        <v>77</v>
      </c>
      <c r="B28" s="20">
        <f>Inputs!B6</f>
        <v>61.415999999999997</v>
      </c>
      <c r="C28" s="27"/>
      <c r="D28" s="27"/>
      <c r="E28" s="28" t="s">
        <v>78</v>
      </c>
    </row>
    <row r="29" spans="1:5" ht="26.45" customHeight="1" x14ac:dyDescent="0.25">
      <c r="A29" s="29" t="s">
        <v>79</v>
      </c>
      <c r="B29" s="23">
        <f>Inputs!B7</f>
        <v>13.384</v>
      </c>
      <c r="C29" s="30"/>
      <c r="D29" s="30"/>
      <c r="E29" s="28" t="s">
        <v>80</v>
      </c>
    </row>
    <row r="30" spans="1:5" x14ac:dyDescent="0.25">
      <c r="A30" s="26" t="s">
        <v>81</v>
      </c>
      <c r="B30" s="31">
        <f>Inputs!B7/Inputs!B6</f>
        <v>0.21792366809951805</v>
      </c>
      <c r="C30" s="27"/>
      <c r="D30" s="27"/>
      <c r="E30" s="28" t="s">
        <v>82</v>
      </c>
    </row>
    <row r="31" spans="1:5" ht="26.45" customHeight="1" x14ac:dyDescent="0.25">
      <c r="A31" s="29" t="s">
        <v>83</v>
      </c>
      <c r="B31" s="32">
        <v>0.92</v>
      </c>
      <c r="C31" s="30"/>
      <c r="D31" s="30"/>
      <c r="E31" s="28" t="s">
        <v>84</v>
      </c>
    </row>
    <row r="32" spans="1:5" ht="26.45" customHeight="1" x14ac:dyDescent="0.25">
      <c r="A32" s="26" t="s">
        <v>85</v>
      </c>
      <c r="B32" s="20">
        <f>FY25_base!B56</f>
        <v>7.1630000000000003</v>
      </c>
      <c r="C32" s="27"/>
      <c r="D32" s="27"/>
      <c r="E32" s="28" t="s">
        <v>86</v>
      </c>
    </row>
    <row r="33" spans="1:5" x14ac:dyDescent="0.25">
      <c r="A33" s="29" t="s">
        <v>87</v>
      </c>
      <c r="B33" s="33">
        <f>Equity_bridge!C19</f>
        <v>1.5367900000000001</v>
      </c>
      <c r="C33" s="30"/>
      <c r="D33" s="30"/>
      <c r="E33" s="28" t="s">
        <v>88</v>
      </c>
    </row>
    <row r="35" spans="1:5" ht="18" customHeight="1" x14ac:dyDescent="0.25">
      <c r="A35" s="189" t="s">
        <v>89</v>
      </c>
      <c r="B35" s="185"/>
      <c r="C35" s="185"/>
      <c r="D35" s="185"/>
      <c r="E35" s="185"/>
    </row>
    <row r="36" spans="1:5" ht="30" customHeight="1" x14ac:dyDescent="0.25">
      <c r="A36" s="190" t="s">
        <v>90</v>
      </c>
      <c r="B36" s="185"/>
      <c r="C36" s="185"/>
      <c r="D36" s="185"/>
      <c r="E36" s="185"/>
    </row>
    <row r="37" spans="1:5" ht="30" customHeight="1" x14ac:dyDescent="0.25">
      <c r="A37" s="188" t="s">
        <v>91</v>
      </c>
      <c r="B37" s="185"/>
      <c r="C37" s="185"/>
      <c r="D37" s="185"/>
      <c r="E37" s="185"/>
    </row>
    <row r="38" spans="1:5" ht="30" customHeight="1" x14ac:dyDescent="0.25">
      <c r="A38" s="190" t="s">
        <v>92</v>
      </c>
      <c r="B38" s="185"/>
      <c r="C38" s="185"/>
      <c r="D38" s="185"/>
      <c r="E38" s="185"/>
    </row>
    <row r="39" spans="1:5" ht="30" customHeight="1" x14ac:dyDescent="0.25">
      <c r="A39" s="188" t="s">
        <v>93</v>
      </c>
      <c r="B39" s="185"/>
      <c r="C39" s="185"/>
      <c r="D39" s="185"/>
      <c r="E39" s="185"/>
    </row>
    <row r="40" spans="1:5" ht="30" customHeight="1" x14ac:dyDescent="0.25">
      <c r="A40" s="190" t="s">
        <v>94</v>
      </c>
      <c r="B40" s="185"/>
      <c r="C40" s="185"/>
      <c r="D40" s="185"/>
      <c r="E40" s="185"/>
    </row>
    <row r="41" spans="1:5" ht="30" customHeight="1" x14ac:dyDescent="0.25">
      <c r="A41" s="188" t="s">
        <v>95</v>
      </c>
      <c r="B41" s="185"/>
      <c r="C41" s="185"/>
      <c r="D41" s="185"/>
      <c r="E41" s="185"/>
    </row>
    <row r="42" spans="1:5" ht="30" customHeight="1" x14ac:dyDescent="0.25">
      <c r="A42" s="190" t="s">
        <v>96</v>
      </c>
      <c r="B42" s="185"/>
      <c r="C42" s="185"/>
      <c r="D42" s="185"/>
      <c r="E42" s="185"/>
    </row>
    <row r="43" spans="1:5" ht="30" customHeight="1" x14ac:dyDescent="0.25">
      <c r="A43" s="188" t="s">
        <v>97</v>
      </c>
      <c r="B43" s="185"/>
      <c r="C43" s="185"/>
      <c r="D43" s="185"/>
      <c r="E43" s="185"/>
    </row>
  </sheetData>
  <mergeCells count="16">
    <mergeCell ref="A2:E2"/>
    <mergeCell ref="A42:E42"/>
    <mergeCell ref="A41:E41"/>
    <mergeCell ref="A11:E11"/>
    <mergeCell ref="A1:E1"/>
    <mergeCell ref="A37:E37"/>
    <mergeCell ref="A36:E36"/>
    <mergeCell ref="A14:E14"/>
    <mergeCell ref="A40:E40"/>
    <mergeCell ref="A27:E27"/>
    <mergeCell ref="A21:E21"/>
    <mergeCell ref="A39:E39"/>
    <mergeCell ref="A35:E35"/>
    <mergeCell ref="A4:E4"/>
    <mergeCell ref="A43:E43"/>
    <mergeCell ref="A38:E3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0" customWidth="1"/>
    <col min="2" max="4" width="14" customWidth="1"/>
    <col min="5" max="5" width="60" customWidth="1"/>
  </cols>
  <sheetData>
    <row r="1" spans="1:5" ht="24" customHeight="1" x14ac:dyDescent="0.25">
      <c r="A1" s="193" t="s">
        <v>98</v>
      </c>
      <c r="B1" s="185"/>
      <c r="C1" s="185"/>
      <c r="D1" s="185"/>
      <c r="E1" s="185"/>
    </row>
    <row r="2" spans="1:5" x14ac:dyDescent="0.25">
      <c r="A2" s="14" t="s">
        <v>99</v>
      </c>
    </row>
    <row r="4" spans="1:5" ht="18" customHeight="1" x14ac:dyDescent="0.25">
      <c r="A4" s="1" t="s">
        <v>100</v>
      </c>
      <c r="B4" s="15" t="s">
        <v>101</v>
      </c>
      <c r="C4" s="34" t="s">
        <v>102</v>
      </c>
      <c r="D4" s="17" t="s">
        <v>103</v>
      </c>
      <c r="E4" s="18" t="s">
        <v>104</v>
      </c>
    </row>
    <row r="5" spans="1:5" x14ac:dyDescent="0.25">
      <c r="A5" s="184" t="s">
        <v>105</v>
      </c>
      <c r="B5" s="185"/>
      <c r="C5" s="185"/>
      <c r="D5" s="185"/>
      <c r="E5" s="185"/>
    </row>
    <row r="6" spans="1:5" x14ac:dyDescent="0.25">
      <c r="A6" s="9" t="s">
        <v>106</v>
      </c>
      <c r="B6" s="35">
        <v>61.415999999999997</v>
      </c>
      <c r="C6" s="35">
        <v>61.415999999999997</v>
      </c>
      <c r="D6" s="35">
        <v>61.415999999999997</v>
      </c>
      <c r="E6" s="28" t="s">
        <v>107</v>
      </c>
    </row>
    <row r="7" spans="1:5" x14ac:dyDescent="0.25">
      <c r="A7" s="9" t="s">
        <v>108</v>
      </c>
      <c r="B7" s="35">
        <v>13.384</v>
      </c>
      <c r="C7" s="35">
        <v>13.384</v>
      </c>
      <c r="D7" s="35">
        <v>13.384</v>
      </c>
      <c r="E7" s="28" t="s">
        <v>109</v>
      </c>
    </row>
    <row r="8" spans="1:5" ht="26.45" customHeight="1" x14ac:dyDescent="0.25">
      <c r="A8" s="9" t="s">
        <v>110</v>
      </c>
      <c r="B8" s="35">
        <v>10.266999999999999</v>
      </c>
      <c r="C8" s="35">
        <v>10.266999999999999</v>
      </c>
      <c r="D8" s="35">
        <v>10.266999999999999</v>
      </c>
      <c r="E8" s="28" t="s">
        <v>111</v>
      </c>
    </row>
    <row r="9" spans="1:5" ht="26.45" customHeight="1" x14ac:dyDescent="0.25">
      <c r="A9" s="9" t="s">
        <v>112</v>
      </c>
      <c r="B9" s="35">
        <v>1.121</v>
      </c>
      <c r="C9" s="35">
        <v>1.121</v>
      </c>
      <c r="D9" s="35">
        <v>1.121</v>
      </c>
      <c r="E9" s="28" t="s">
        <v>113</v>
      </c>
    </row>
    <row r="10" spans="1:5" x14ac:dyDescent="0.25">
      <c r="A10" s="9" t="s">
        <v>114</v>
      </c>
      <c r="B10" s="35">
        <v>1.024</v>
      </c>
      <c r="C10" s="35">
        <v>1.024</v>
      </c>
      <c r="D10" s="35">
        <v>1.024</v>
      </c>
      <c r="E10" s="28" t="s">
        <v>115</v>
      </c>
    </row>
    <row r="11" spans="1:5" x14ac:dyDescent="0.25">
      <c r="A11" s="9" t="s">
        <v>116</v>
      </c>
      <c r="B11" s="36">
        <f>B7/B6</f>
        <v>0.21792366809951805</v>
      </c>
      <c r="C11" s="36">
        <f>C7/C6</f>
        <v>0.21792366809951805</v>
      </c>
      <c r="D11" s="36">
        <f>D7/D6</f>
        <v>0.21792366809951805</v>
      </c>
      <c r="E11" s="28" t="s">
        <v>117</v>
      </c>
    </row>
    <row r="13" spans="1:5" x14ac:dyDescent="0.25">
      <c r="A13" s="184" t="s">
        <v>118</v>
      </c>
      <c r="B13" s="185"/>
      <c r="C13" s="185"/>
      <c r="D13" s="185"/>
      <c r="E13" s="185"/>
    </row>
    <row r="14" spans="1:5" ht="26.45" customHeight="1" x14ac:dyDescent="0.25">
      <c r="A14" s="9" t="s">
        <v>119</v>
      </c>
      <c r="B14" s="37">
        <v>0.12</v>
      </c>
      <c r="C14" s="37">
        <v>0.17</v>
      </c>
      <c r="D14" s="37">
        <v>0.21</v>
      </c>
      <c r="E14" s="28" t="s">
        <v>120</v>
      </c>
    </row>
    <row r="15" spans="1:5" x14ac:dyDescent="0.25">
      <c r="A15" s="9" t="s">
        <v>121</v>
      </c>
      <c r="B15" s="37">
        <v>0.1</v>
      </c>
      <c r="C15" s="37">
        <v>0.15</v>
      </c>
      <c r="D15" s="37">
        <v>0.18</v>
      </c>
    </row>
    <row r="16" spans="1:5" x14ac:dyDescent="0.25">
      <c r="A16" s="9" t="s">
        <v>122</v>
      </c>
      <c r="B16" s="37">
        <v>0.08</v>
      </c>
      <c r="C16" s="37">
        <v>0.13</v>
      </c>
      <c r="D16" s="37">
        <v>0.16</v>
      </c>
    </row>
    <row r="17" spans="1:5" ht="26.45" customHeight="1" x14ac:dyDescent="0.25">
      <c r="A17" s="9" t="s">
        <v>123</v>
      </c>
      <c r="B17" s="37">
        <v>7.0000000000000007E-2</v>
      </c>
      <c r="C17" s="37">
        <v>0.11</v>
      </c>
      <c r="D17" s="37">
        <v>0.14000000000000001</v>
      </c>
      <c r="E17" s="28" t="s">
        <v>124</v>
      </c>
    </row>
    <row r="18" spans="1:5" ht="26.45" customHeight="1" x14ac:dyDescent="0.25">
      <c r="A18" s="9" t="s">
        <v>125</v>
      </c>
      <c r="B18" s="37">
        <v>0.06</v>
      </c>
      <c r="C18" s="37">
        <v>0.09</v>
      </c>
      <c r="D18" s="37">
        <v>0.12</v>
      </c>
      <c r="E18" s="28" t="s">
        <v>126</v>
      </c>
    </row>
    <row r="20" spans="1:5" x14ac:dyDescent="0.25">
      <c r="A20" s="184" t="s">
        <v>127</v>
      </c>
      <c r="B20" s="185"/>
      <c r="C20" s="185"/>
      <c r="D20" s="185"/>
      <c r="E20" s="185"/>
    </row>
    <row r="21" spans="1:5" x14ac:dyDescent="0.25">
      <c r="A21" s="9" t="s">
        <v>128</v>
      </c>
      <c r="B21" s="36">
        <f>B11</f>
        <v>0.21792366809951805</v>
      </c>
      <c r="C21" s="36">
        <f>C11</f>
        <v>0.21792366809951805</v>
      </c>
      <c r="D21" s="36">
        <f>D11</f>
        <v>0.21792366809951805</v>
      </c>
      <c r="E21" s="28" t="s">
        <v>129</v>
      </c>
    </row>
    <row r="22" spans="1:5" ht="26.45" customHeight="1" x14ac:dyDescent="0.25">
      <c r="A22" s="9" t="s">
        <v>130</v>
      </c>
      <c r="B22" s="37">
        <v>0.26</v>
      </c>
      <c r="C22" s="37">
        <v>0.32</v>
      </c>
      <c r="D22" s="37">
        <v>0.35</v>
      </c>
      <c r="E22" s="28" t="s">
        <v>131</v>
      </c>
    </row>
    <row r="23" spans="1:5" ht="26.45" customHeight="1" x14ac:dyDescent="0.25">
      <c r="A23" s="9" t="s">
        <v>132</v>
      </c>
      <c r="B23" s="36">
        <f>B21+(B22-B21)*1/5</f>
        <v>0.22633893447961445</v>
      </c>
      <c r="C23" s="36">
        <f>C21+(C22-C21)*1/5</f>
        <v>0.23833893447961443</v>
      </c>
      <c r="D23" s="36">
        <f>D21+(D22-D21)*1/5</f>
        <v>0.24433893447961444</v>
      </c>
      <c r="E23" s="28" t="s">
        <v>133</v>
      </c>
    </row>
    <row r="24" spans="1:5" x14ac:dyDescent="0.25">
      <c r="A24" s="9" t="s">
        <v>134</v>
      </c>
      <c r="B24" s="36">
        <f>B21+(B22-B21)*2/5</f>
        <v>0.23475420085971083</v>
      </c>
      <c r="C24" s="36">
        <f>C21+(C22-C21)*2/5</f>
        <v>0.25875420085971085</v>
      </c>
      <c r="D24" s="36">
        <f>D21+(D22-D21)*2/5</f>
        <v>0.2707542008597108</v>
      </c>
    </row>
    <row r="25" spans="1:5" x14ac:dyDescent="0.25">
      <c r="A25" s="9" t="s">
        <v>135</v>
      </c>
      <c r="B25" s="36">
        <f>B21+(B22-B21)*3/5</f>
        <v>0.24316946723980723</v>
      </c>
      <c r="C25" s="36">
        <f>C21+(C22-C21)*3/5</f>
        <v>0.27916946723980723</v>
      </c>
      <c r="D25" s="36">
        <f>D21+(D22-D21)*3/5</f>
        <v>0.29716946723980719</v>
      </c>
    </row>
    <row r="26" spans="1:5" x14ac:dyDescent="0.25">
      <c r="A26" s="9" t="s">
        <v>136</v>
      </c>
      <c r="B26" s="36">
        <f>B21+(B22-B21)*4/5</f>
        <v>0.25158473361990363</v>
      </c>
      <c r="C26" s="36">
        <f>C21+(C22-C21)*4/5</f>
        <v>0.29958473361990362</v>
      </c>
      <c r="D26" s="36">
        <f>D21+(D22-D21)*4/5</f>
        <v>0.32358473361990359</v>
      </c>
    </row>
    <row r="27" spans="1:5" x14ac:dyDescent="0.25">
      <c r="A27" s="9" t="s">
        <v>137</v>
      </c>
      <c r="B27" s="36">
        <f>B21+(B22-B21)*5/5</f>
        <v>0.26</v>
      </c>
      <c r="C27" s="36">
        <f>C21+(C22-C21)*5/5</f>
        <v>0.32</v>
      </c>
      <c r="D27" s="36">
        <f>D21+(D22-D21)*5/5</f>
        <v>0.35</v>
      </c>
    </row>
    <row r="29" spans="1:5" x14ac:dyDescent="0.25">
      <c r="A29" s="184" t="s">
        <v>138</v>
      </c>
      <c r="B29" s="185"/>
      <c r="C29" s="185"/>
      <c r="D29" s="185"/>
      <c r="E29" s="185"/>
    </row>
    <row r="30" spans="1:5" ht="26.45" customHeight="1" x14ac:dyDescent="0.25">
      <c r="A30" s="9" t="s">
        <v>139</v>
      </c>
      <c r="B30" s="37">
        <v>0.02</v>
      </c>
      <c r="C30" s="37">
        <v>0.02</v>
      </c>
      <c r="D30" s="37">
        <v>0.02</v>
      </c>
      <c r="E30" s="28" t="s">
        <v>140</v>
      </c>
    </row>
    <row r="31" spans="1:5" ht="26.45" customHeight="1" x14ac:dyDescent="0.25">
      <c r="A31" s="9" t="s">
        <v>141</v>
      </c>
      <c r="B31" s="37">
        <v>0.25</v>
      </c>
      <c r="C31" s="37">
        <v>0.22</v>
      </c>
      <c r="D31" s="37">
        <v>0.2</v>
      </c>
      <c r="E31" s="28" t="s">
        <v>142</v>
      </c>
    </row>
    <row r="32" spans="1:5" ht="26.45" customHeight="1" x14ac:dyDescent="0.25">
      <c r="A32" s="9" t="s">
        <v>143</v>
      </c>
      <c r="B32" s="37">
        <v>0.03</v>
      </c>
      <c r="C32" s="37">
        <v>2.7E-2</v>
      </c>
      <c r="D32" s="37">
        <v>2.5000000000000001E-2</v>
      </c>
      <c r="E32" s="28" t="s">
        <v>144</v>
      </c>
    </row>
    <row r="33" spans="1:5" ht="26.45" customHeight="1" x14ac:dyDescent="0.25">
      <c r="A33" s="9" t="s">
        <v>145</v>
      </c>
      <c r="B33" s="37">
        <v>0.1</v>
      </c>
      <c r="C33" s="37">
        <v>7.0000000000000007E-2</v>
      </c>
      <c r="D33" s="37">
        <v>0.05</v>
      </c>
      <c r="E33" s="28" t="s">
        <v>146</v>
      </c>
    </row>
    <row r="34" spans="1:5" ht="26.45" customHeight="1" x14ac:dyDescent="0.25">
      <c r="A34" s="38" t="s">
        <v>147</v>
      </c>
      <c r="B34" s="39">
        <v>3.5</v>
      </c>
      <c r="C34" s="39">
        <v>3.5</v>
      </c>
      <c r="D34" s="39">
        <v>3.5</v>
      </c>
      <c r="E34" s="40" t="s">
        <v>148</v>
      </c>
    </row>
    <row r="36" spans="1:5" x14ac:dyDescent="0.25">
      <c r="A36" s="184" t="s">
        <v>149</v>
      </c>
      <c r="B36" s="185"/>
      <c r="C36" s="185"/>
      <c r="D36" s="185"/>
      <c r="E36" s="185"/>
    </row>
    <row r="37" spans="1:5" ht="26.45" customHeight="1" x14ac:dyDescent="0.25">
      <c r="A37" s="9" t="s">
        <v>150</v>
      </c>
      <c r="B37" s="37">
        <v>0.105</v>
      </c>
      <c r="C37" s="37">
        <v>9.5000000000000001E-2</v>
      </c>
      <c r="D37" s="37">
        <v>8.5000000000000006E-2</v>
      </c>
      <c r="E37" s="28" t="s">
        <v>151</v>
      </c>
    </row>
    <row r="38" spans="1:5" ht="26.45" customHeight="1" x14ac:dyDescent="0.25">
      <c r="A38" s="9" t="s">
        <v>152</v>
      </c>
      <c r="B38" s="37">
        <v>0.02</v>
      </c>
      <c r="C38" s="37">
        <v>2.5000000000000001E-2</v>
      </c>
      <c r="D38" s="37">
        <v>0.03</v>
      </c>
      <c r="E38" s="28" t="s">
        <v>153</v>
      </c>
    </row>
    <row r="39" spans="1:5" ht="26.45" customHeight="1" x14ac:dyDescent="0.25">
      <c r="A39" s="9" t="s">
        <v>154</v>
      </c>
      <c r="B39" s="41">
        <v>15</v>
      </c>
      <c r="C39" s="41">
        <v>15</v>
      </c>
      <c r="D39" s="41">
        <v>15</v>
      </c>
      <c r="E39" s="28" t="s">
        <v>155</v>
      </c>
    </row>
    <row r="41" spans="1:5" x14ac:dyDescent="0.25">
      <c r="A41" s="184" t="s">
        <v>156</v>
      </c>
      <c r="B41" s="185"/>
      <c r="C41" s="185"/>
      <c r="D41" s="185"/>
      <c r="E41" s="185"/>
    </row>
    <row r="42" spans="1:5" ht="26.45" customHeight="1" x14ac:dyDescent="0.25">
      <c r="A42" s="9" t="s">
        <v>3</v>
      </c>
      <c r="B42" s="37">
        <v>0.35</v>
      </c>
      <c r="C42" s="36">
        <f>B42</f>
        <v>0.35</v>
      </c>
      <c r="D42" s="36">
        <f>B42</f>
        <v>0.35</v>
      </c>
      <c r="E42" s="28" t="s">
        <v>157</v>
      </c>
    </row>
    <row r="43" spans="1:5" x14ac:dyDescent="0.25">
      <c r="A43" s="9" t="s">
        <v>5</v>
      </c>
      <c r="B43" s="41">
        <v>15</v>
      </c>
      <c r="C43" s="42">
        <f>B43</f>
        <v>15</v>
      </c>
      <c r="D43" s="42">
        <f>B43</f>
        <v>15</v>
      </c>
      <c r="E43" s="28" t="s">
        <v>158</v>
      </c>
    </row>
    <row r="45" spans="1:5" x14ac:dyDescent="0.25">
      <c r="A45" s="145" t="s">
        <v>159</v>
      </c>
    </row>
    <row r="46" spans="1:5" x14ac:dyDescent="0.25">
      <c r="A46" t="s">
        <v>160</v>
      </c>
      <c r="C46" s="146">
        <v>3.5000000000000003E-2</v>
      </c>
      <c r="E46" s="147" t="s">
        <v>161</v>
      </c>
    </row>
    <row r="47" spans="1:5" x14ac:dyDescent="0.25">
      <c r="A47" t="s">
        <v>162</v>
      </c>
      <c r="C47" s="146">
        <v>5.5E-2</v>
      </c>
      <c r="E47" s="147" t="s">
        <v>163</v>
      </c>
    </row>
    <row r="48" spans="1:5" x14ac:dyDescent="0.25">
      <c r="A48" t="s">
        <v>164</v>
      </c>
      <c r="C48" s="148">
        <v>1.1499999999999999</v>
      </c>
      <c r="E48" s="182" t="s">
        <v>165</v>
      </c>
    </row>
    <row r="49" spans="1:5" x14ac:dyDescent="0.25">
      <c r="A49" t="s">
        <v>166</v>
      </c>
      <c r="C49" s="146">
        <v>1.2500000000000001E-2</v>
      </c>
      <c r="E49" s="147" t="s">
        <v>167</v>
      </c>
    </row>
    <row r="50" spans="1:5" x14ac:dyDescent="0.25">
      <c r="A50" t="s">
        <v>168</v>
      </c>
      <c r="C50" s="149">
        <f>C46+C48*C47+C49</f>
        <v>0.11075</v>
      </c>
      <c r="E50" s="147" t="s">
        <v>169</v>
      </c>
    </row>
    <row r="51" spans="1:5" x14ac:dyDescent="0.25">
      <c r="A51" t="s">
        <v>170</v>
      </c>
      <c r="C51" s="146">
        <v>0.2</v>
      </c>
      <c r="E51" s="147" t="s">
        <v>171</v>
      </c>
    </row>
    <row r="52" spans="1:5" x14ac:dyDescent="0.25">
      <c r="A52" t="s">
        <v>172</v>
      </c>
      <c r="C52" s="146">
        <v>5.5E-2</v>
      </c>
      <c r="E52" s="147" t="s">
        <v>173</v>
      </c>
    </row>
    <row r="53" spans="1:5" x14ac:dyDescent="0.25">
      <c r="A53" t="s">
        <v>174</v>
      </c>
      <c r="C53" s="149">
        <f>C52*(1-0.2583)</f>
        <v>4.0793500000000003E-2</v>
      </c>
      <c r="E53" s="147" t="s">
        <v>169</v>
      </c>
    </row>
    <row r="54" spans="1:5" x14ac:dyDescent="0.25">
      <c r="A54" t="s">
        <v>175</v>
      </c>
      <c r="C54" s="150">
        <f>(1-C51)*C50+C51*C53</f>
        <v>9.6758700000000017E-2</v>
      </c>
      <c r="E54" s="147" t="s">
        <v>176</v>
      </c>
    </row>
    <row r="55" spans="1:5" x14ac:dyDescent="0.25">
      <c r="A55" t="s">
        <v>177</v>
      </c>
      <c r="C55" s="149">
        <f>C37</f>
        <v>9.5000000000000001E-2</v>
      </c>
    </row>
    <row r="56" spans="1:5" x14ac:dyDescent="0.25">
      <c r="A56" t="s">
        <v>178</v>
      </c>
      <c r="C56" s="149">
        <f>C54-C55</f>
        <v>1.7587000000000158E-3</v>
      </c>
      <c r="E56" s="147" t="s">
        <v>179</v>
      </c>
    </row>
  </sheetData>
  <mergeCells count="7">
    <mergeCell ref="A29:E29"/>
    <mergeCell ref="A20:E20"/>
    <mergeCell ref="A41:E41"/>
    <mergeCell ref="A1:E1"/>
    <mergeCell ref="A5:E5"/>
    <mergeCell ref="A36:E36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9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46" customWidth="1"/>
    <col min="2" max="3" width="16" customWidth="1"/>
    <col min="4" max="4" width="55" customWidth="1"/>
  </cols>
  <sheetData>
    <row r="1" spans="1:4" ht="21.75" customHeight="1" x14ac:dyDescent="0.25">
      <c r="A1" s="189" t="s">
        <v>180</v>
      </c>
      <c r="B1" s="185"/>
      <c r="C1" s="185"/>
      <c r="D1" s="185"/>
    </row>
    <row r="3" spans="1:4" x14ac:dyDescent="0.25">
      <c r="A3" s="184" t="s">
        <v>181</v>
      </c>
      <c r="B3" s="185"/>
      <c r="C3" s="3" t="s">
        <v>182</v>
      </c>
      <c r="D3" s="3" t="s">
        <v>183</v>
      </c>
    </row>
    <row r="4" spans="1:4" x14ac:dyDescent="0.25">
      <c r="A4" s="26" t="s">
        <v>184</v>
      </c>
      <c r="B4" s="43">
        <v>61416</v>
      </c>
      <c r="C4" s="43">
        <v>54977</v>
      </c>
      <c r="D4" s="21" t="s">
        <v>185</v>
      </c>
    </row>
    <row r="5" spans="1:4" x14ac:dyDescent="0.25">
      <c r="A5" s="29" t="s">
        <v>186</v>
      </c>
      <c r="B5" s="44">
        <v>53594</v>
      </c>
      <c r="C5" s="44">
        <v>45467</v>
      </c>
      <c r="D5" s="24" t="s">
        <v>187</v>
      </c>
    </row>
    <row r="6" spans="1:4" x14ac:dyDescent="0.25">
      <c r="A6" s="26" t="s">
        <v>188</v>
      </c>
      <c r="B6" s="43">
        <v>7904</v>
      </c>
      <c r="C6" s="43">
        <v>9510</v>
      </c>
      <c r="D6" s="21" t="s">
        <v>187</v>
      </c>
    </row>
    <row r="7" spans="1:4" x14ac:dyDescent="0.25">
      <c r="A7" s="29" t="s">
        <v>189</v>
      </c>
      <c r="B7" s="44">
        <v>4048</v>
      </c>
      <c r="C7" s="44">
        <v>2942</v>
      </c>
      <c r="D7" s="24" t="s">
        <v>190</v>
      </c>
    </row>
    <row r="8" spans="1:4" x14ac:dyDescent="0.25">
      <c r="A8" s="26" t="s">
        <v>191</v>
      </c>
      <c r="B8" s="43">
        <v>-15280</v>
      </c>
      <c r="C8" s="43">
        <v>-13219</v>
      </c>
      <c r="D8" s="21" t="s">
        <v>192</v>
      </c>
    </row>
    <row r="9" spans="1:4" x14ac:dyDescent="0.25">
      <c r="A9" s="29" t="s">
        <v>193</v>
      </c>
      <c r="B9" s="44">
        <v>-38170</v>
      </c>
      <c r="C9" s="44">
        <v>-35252</v>
      </c>
      <c r="D9" s="24" t="s">
        <v>194</v>
      </c>
    </row>
    <row r="10" spans="1:4" x14ac:dyDescent="0.25">
      <c r="A10" s="26" t="s">
        <v>195</v>
      </c>
      <c r="B10" s="43">
        <v>-876</v>
      </c>
      <c r="C10" s="43">
        <v>-298</v>
      </c>
      <c r="D10" s="21" t="s">
        <v>192</v>
      </c>
    </row>
    <row r="11" spans="1:4" x14ac:dyDescent="0.25">
      <c r="A11" s="29" t="s">
        <v>196</v>
      </c>
      <c r="B11" s="44">
        <v>-425</v>
      </c>
      <c r="C11" s="44">
        <v>-412</v>
      </c>
      <c r="D11" s="24" t="s">
        <v>197</v>
      </c>
    </row>
    <row r="12" spans="1:4" x14ac:dyDescent="0.25">
      <c r="A12" s="26" t="s">
        <v>198</v>
      </c>
      <c r="B12" s="43">
        <v>-3633</v>
      </c>
      <c r="C12" s="43">
        <v>-2710</v>
      </c>
      <c r="D12" s="21" t="s">
        <v>199</v>
      </c>
    </row>
    <row r="13" spans="1:4" ht="26.45" customHeight="1" x14ac:dyDescent="0.25">
      <c r="A13" s="7" t="s">
        <v>200</v>
      </c>
      <c r="B13" s="45">
        <f>B4+B7+B8+B9+B10+B11+B12</f>
        <v>7080</v>
      </c>
      <c r="C13" s="45">
        <f>C4+C7+C8+C9+C10+C11+C12</f>
        <v>6028</v>
      </c>
      <c r="D13" s="28" t="s">
        <v>201</v>
      </c>
    </row>
    <row r="14" spans="1:4" x14ac:dyDescent="0.25">
      <c r="A14" s="9" t="s">
        <v>202</v>
      </c>
      <c r="B14" s="46">
        <v>-296</v>
      </c>
      <c r="C14" s="46">
        <v>-221</v>
      </c>
      <c r="D14" s="28" t="s">
        <v>203</v>
      </c>
    </row>
    <row r="15" spans="1:4" x14ac:dyDescent="0.25">
      <c r="A15" s="7" t="s">
        <v>204</v>
      </c>
      <c r="B15" s="45">
        <f>B13+B14</f>
        <v>6784</v>
      </c>
      <c r="C15" s="45">
        <f>C13+C14</f>
        <v>5807</v>
      </c>
    </row>
    <row r="16" spans="1:4" ht="26.45" customHeight="1" x14ac:dyDescent="0.25">
      <c r="A16" s="9" t="s">
        <v>205</v>
      </c>
      <c r="B16" s="46">
        <v>3482</v>
      </c>
      <c r="C16" s="46">
        <v>2560</v>
      </c>
      <c r="D16" s="28" t="s">
        <v>206</v>
      </c>
    </row>
    <row r="17" spans="1:4" ht="26.45" customHeight="1" x14ac:dyDescent="0.25">
      <c r="A17" s="47" t="s">
        <v>207</v>
      </c>
      <c r="B17" s="48">
        <f>B15+B16</f>
        <v>10266</v>
      </c>
      <c r="C17" s="49">
        <f>C15+C16</f>
        <v>8367</v>
      </c>
      <c r="D17" s="50" t="s">
        <v>208</v>
      </c>
    </row>
    <row r="19" spans="1:4" x14ac:dyDescent="0.25">
      <c r="A19" s="184" t="s">
        <v>209</v>
      </c>
      <c r="B19" s="185"/>
      <c r="C19" s="3" t="s">
        <v>182</v>
      </c>
      <c r="D19" s="3" t="s">
        <v>183</v>
      </c>
    </row>
    <row r="20" spans="1:4" x14ac:dyDescent="0.25">
      <c r="A20" s="9" t="s">
        <v>210</v>
      </c>
      <c r="B20" s="45">
        <f>B17</f>
        <v>10266</v>
      </c>
      <c r="C20" s="45">
        <f>C17</f>
        <v>8367</v>
      </c>
    </row>
    <row r="21" spans="1:4" x14ac:dyDescent="0.25">
      <c r="A21" s="9" t="s">
        <v>211</v>
      </c>
      <c r="B21" s="46">
        <v>3929</v>
      </c>
      <c r="C21" s="46">
        <v>2931</v>
      </c>
      <c r="D21" s="28" t="s">
        <v>212</v>
      </c>
    </row>
    <row r="22" spans="1:4" x14ac:dyDescent="0.25">
      <c r="A22" s="9" t="s">
        <v>213</v>
      </c>
      <c r="B22" s="46">
        <v>-812</v>
      </c>
      <c r="C22" s="46">
        <v>-321</v>
      </c>
      <c r="D22" s="28" t="s">
        <v>214</v>
      </c>
    </row>
    <row r="23" spans="1:4" ht="26.45" customHeight="1" x14ac:dyDescent="0.25">
      <c r="A23" s="47" t="s">
        <v>215</v>
      </c>
      <c r="B23" s="48">
        <f>B20+B21+B22</f>
        <v>13383</v>
      </c>
      <c r="C23" s="49">
        <f>C20+C21+C22</f>
        <v>10977</v>
      </c>
      <c r="D23" s="50" t="s">
        <v>216</v>
      </c>
    </row>
    <row r="24" spans="1:4" ht="26.45" customHeight="1" x14ac:dyDescent="0.25">
      <c r="A24" s="9" t="s">
        <v>217</v>
      </c>
      <c r="B24" s="36">
        <f>B23/B4</f>
        <v>0.21790738569753809</v>
      </c>
      <c r="C24" s="36">
        <f>C23/C4</f>
        <v>0.19966531458609965</v>
      </c>
      <c r="D24" s="28" t="s">
        <v>218</v>
      </c>
    </row>
    <row r="26" spans="1:4" x14ac:dyDescent="0.25">
      <c r="A26" s="184" t="s">
        <v>219</v>
      </c>
      <c r="B26" s="185"/>
      <c r="C26" s="3" t="s">
        <v>220</v>
      </c>
    </row>
    <row r="27" spans="1:4" x14ac:dyDescent="0.25">
      <c r="A27" s="9" t="s">
        <v>221</v>
      </c>
      <c r="B27" s="46">
        <v>266</v>
      </c>
      <c r="D27" s="28" t="s">
        <v>222</v>
      </c>
    </row>
    <row r="28" spans="1:4" x14ac:dyDescent="0.25">
      <c r="A28" s="9" t="s">
        <v>223</v>
      </c>
      <c r="B28" s="46">
        <v>296</v>
      </c>
      <c r="D28" s="28" t="s">
        <v>222</v>
      </c>
    </row>
    <row r="29" spans="1:4" x14ac:dyDescent="0.25">
      <c r="A29" s="9" t="s">
        <v>224</v>
      </c>
      <c r="B29" s="46">
        <v>575</v>
      </c>
      <c r="D29" s="28" t="s">
        <v>222</v>
      </c>
    </row>
    <row r="30" spans="1:4" x14ac:dyDescent="0.25">
      <c r="A30" s="9" t="s">
        <v>225</v>
      </c>
      <c r="B30" s="46">
        <v>296</v>
      </c>
      <c r="D30" s="28" t="s">
        <v>226</v>
      </c>
    </row>
    <row r="31" spans="1:4" ht="26.45" customHeight="1" x14ac:dyDescent="0.25">
      <c r="A31" s="7" t="s">
        <v>227</v>
      </c>
      <c r="B31" s="45">
        <f>B27+B29</f>
        <v>841</v>
      </c>
      <c r="D31" s="28" t="s">
        <v>228</v>
      </c>
    </row>
    <row r="32" spans="1:4" ht="26.45" customHeight="1" x14ac:dyDescent="0.25">
      <c r="A32" s="9" t="s">
        <v>229</v>
      </c>
      <c r="B32" s="46">
        <v>280</v>
      </c>
      <c r="D32" s="28" t="s">
        <v>230</v>
      </c>
    </row>
    <row r="33" spans="1:4" ht="26.45" customHeight="1" x14ac:dyDescent="0.25">
      <c r="A33" s="7" t="s">
        <v>231</v>
      </c>
      <c r="B33" s="45">
        <f>B31+B32</f>
        <v>1121</v>
      </c>
      <c r="D33" s="28" t="s">
        <v>232</v>
      </c>
    </row>
    <row r="35" spans="1:4" x14ac:dyDescent="0.25">
      <c r="A35" s="184" t="s">
        <v>233</v>
      </c>
      <c r="B35" s="185"/>
      <c r="C35" s="3" t="s">
        <v>234</v>
      </c>
      <c r="D35" s="3" t="s">
        <v>235</v>
      </c>
    </row>
    <row r="36" spans="1:4" x14ac:dyDescent="0.25">
      <c r="A36" s="26" t="s">
        <v>236</v>
      </c>
      <c r="B36" s="43">
        <v>112987</v>
      </c>
      <c r="C36" s="43">
        <v>76705</v>
      </c>
      <c r="D36" s="28" t="s">
        <v>237</v>
      </c>
    </row>
    <row r="37" spans="1:4" x14ac:dyDescent="0.25">
      <c r="A37" s="29" t="s">
        <v>238</v>
      </c>
      <c r="B37" s="44">
        <v>69194</v>
      </c>
      <c r="C37" s="44">
        <v>30776</v>
      </c>
    </row>
    <row r="38" spans="1:4" x14ac:dyDescent="0.25">
      <c r="A38" s="26" t="s">
        <v>239</v>
      </c>
      <c r="B38" s="43">
        <v>831</v>
      </c>
      <c r="C38" s="43">
        <v>957</v>
      </c>
    </row>
    <row r="39" spans="1:4" x14ac:dyDescent="0.25">
      <c r="A39" s="29" t="s">
        <v>240</v>
      </c>
      <c r="B39" s="44">
        <v>11926</v>
      </c>
      <c r="C39" s="44">
        <v>9835</v>
      </c>
    </row>
    <row r="40" spans="1:4" x14ac:dyDescent="0.25">
      <c r="A40" s="26" t="s">
        <v>241</v>
      </c>
      <c r="B40" s="43">
        <v>5402</v>
      </c>
      <c r="C40" s="43">
        <v>12691</v>
      </c>
    </row>
    <row r="41" spans="1:4" x14ac:dyDescent="0.25">
      <c r="A41" s="29" t="s">
        <v>242</v>
      </c>
      <c r="B41" s="44">
        <v>10925</v>
      </c>
      <c r="C41" s="44">
        <v>12534</v>
      </c>
    </row>
    <row r="42" spans="1:4" x14ac:dyDescent="0.25">
      <c r="A42" s="26" t="s">
        <v>243</v>
      </c>
      <c r="B42" s="43">
        <v>50183</v>
      </c>
      <c r="C42" s="43">
        <v>39404</v>
      </c>
    </row>
    <row r="43" spans="1:4" ht="26.45" customHeight="1" x14ac:dyDescent="0.25">
      <c r="A43" s="29" t="s">
        <v>244</v>
      </c>
      <c r="B43" s="44">
        <v>30981</v>
      </c>
      <c r="C43" s="44">
        <v>7912</v>
      </c>
      <c r="D43" s="28" t="s">
        <v>245</v>
      </c>
    </row>
    <row r="45" spans="1:4" x14ac:dyDescent="0.25">
      <c r="A45" s="184" t="s">
        <v>246</v>
      </c>
      <c r="B45" s="185"/>
      <c r="C45" s="3" t="s">
        <v>247</v>
      </c>
    </row>
    <row r="46" spans="1:4" x14ac:dyDescent="0.25">
      <c r="A46" s="9" t="s">
        <v>248</v>
      </c>
      <c r="B46" s="51">
        <f>B43/1000</f>
        <v>30.981000000000002</v>
      </c>
      <c r="D46" s="28" t="s">
        <v>249</v>
      </c>
    </row>
    <row r="47" spans="1:4" x14ac:dyDescent="0.25">
      <c r="A47" s="9" t="s">
        <v>250</v>
      </c>
      <c r="B47" s="51">
        <f>-B40/1000</f>
        <v>-5.4020000000000001</v>
      </c>
    </row>
    <row r="48" spans="1:4" x14ac:dyDescent="0.25">
      <c r="A48" s="9" t="s">
        <v>251</v>
      </c>
      <c r="B48" s="51">
        <f>-B41/1000</f>
        <v>-10.925000000000001</v>
      </c>
    </row>
    <row r="49" spans="1:4" ht="26.45" customHeight="1" x14ac:dyDescent="0.25">
      <c r="A49" s="47" t="s">
        <v>252</v>
      </c>
      <c r="B49" s="52">
        <f>B46+B47+B48</f>
        <v>14.654</v>
      </c>
      <c r="C49" s="53"/>
      <c r="D49" s="28" t="s">
        <v>253</v>
      </c>
    </row>
    <row r="51" spans="1:4" x14ac:dyDescent="0.25">
      <c r="A51" s="184" t="s">
        <v>254</v>
      </c>
      <c r="B51" s="185"/>
      <c r="C51" s="3" t="s">
        <v>247</v>
      </c>
    </row>
    <row r="52" spans="1:4" ht="26.45" customHeight="1" x14ac:dyDescent="0.25">
      <c r="A52" s="9" t="s">
        <v>255</v>
      </c>
      <c r="B52" s="35">
        <v>5.24</v>
      </c>
      <c r="D52" s="28" t="s">
        <v>256</v>
      </c>
    </row>
    <row r="53" spans="1:4" x14ac:dyDescent="0.25">
      <c r="A53" s="9" t="s">
        <v>257</v>
      </c>
      <c r="B53" s="51">
        <f>-Inputs!B10</f>
        <v>-1.024</v>
      </c>
    </row>
    <row r="54" spans="1:4" ht="26.45" customHeight="1" x14ac:dyDescent="0.25">
      <c r="A54" s="7" t="s">
        <v>258</v>
      </c>
      <c r="B54" s="51">
        <f>B52+B53</f>
        <v>4.2160000000000002</v>
      </c>
      <c r="D54" s="28" t="s">
        <v>259</v>
      </c>
    </row>
    <row r="55" spans="1:4" ht="26.45" customHeight="1" x14ac:dyDescent="0.25">
      <c r="A55" s="9" t="s">
        <v>260</v>
      </c>
      <c r="B55" s="39">
        <v>2.9470000000000001</v>
      </c>
      <c r="D55" s="28" t="s">
        <v>261</v>
      </c>
    </row>
    <row r="56" spans="1:4" ht="26.45" customHeight="1" x14ac:dyDescent="0.25">
      <c r="A56" s="47" t="s">
        <v>262</v>
      </c>
      <c r="B56" s="52">
        <f>B54+B55</f>
        <v>7.1630000000000003</v>
      </c>
      <c r="C56" s="53"/>
      <c r="D56" s="28" t="s">
        <v>263</v>
      </c>
    </row>
    <row r="58" spans="1:4" x14ac:dyDescent="0.25">
      <c r="A58" s="184" t="s">
        <v>264</v>
      </c>
      <c r="B58" s="185"/>
      <c r="C58" s="3" t="s">
        <v>247</v>
      </c>
    </row>
    <row r="59" spans="1:4" x14ac:dyDescent="0.25">
      <c r="A59" s="9" t="s">
        <v>265</v>
      </c>
      <c r="B59" s="51">
        <f>Inputs!B8</f>
        <v>10.266999999999999</v>
      </c>
    </row>
    <row r="60" spans="1:4" x14ac:dyDescent="0.25">
      <c r="A60" s="9" t="s">
        <v>266</v>
      </c>
      <c r="B60" s="36">
        <f>1-Inputs!B31</f>
        <v>0.75</v>
      </c>
      <c r="D60" s="28" t="s">
        <v>267</v>
      </c>
    </row>
    <row r="61" spans="1:4" x14ac:dyDescent="0.25">
      <c r="A61" s="9" t="s">
        <v>268</v>
      </c>
      <c r="B61" s="51">
        <f>B59*(1-Inputs!B31)</f>
        <v>7.7002499999999996</v>
      </c>
    </row>
    <row r="62" spans="1:4" x14ac:dyDescent="0.25">
      <c r="A62" s="9" t="s">
        <v>269</v>
      </c>
      <c r="B62" s="51">
        <f>Inputs!B9</f>
        <v>1.121</v>
      </c>
    </row>
    <row r="63" spans="1:4" x14ac:dyDescent="0.25">
      <c r="A63" s="9" t="s">
        <v>257</v>
      </c>
      <c r="B63" s="51">
        <f>-Inputs!B10</f>
        <v>-1.024</v>
      </c>
    </row>
    <row r="64" spans="1:4" ht="26.45" customHeight="1" x14ac:dyDescent="0.25">
      <c r="A64" s="9" t="s">
        <v>270</v>
      </c>
      <c r="B64" s="35">
        <v>-0.52100000000000002</v>
      </c>
      <c r="D64" s="28" t="s">
        <v>271</v>
      </c>
    </row>
    <row r="65" spans="1:4" ht="26.45" customHeight="1" x14ac:dyDescent="0.25">
      <c r="A65" s="7" t="s">
        <v>272</v>
      </c>
      <c r="B65" s="52">
        <f>B61+B62+B63+B64</f>
        <v>7.2762499999999992</v>
      </c>
      <c r="D65" s="28" t="s">
        <v>273</v>
      </c>
    </row>
    <row r="67" spans="1:4" x14ac:dyDescent="0.25">
      <c r="A67" s="184" t="s">
        <v>274</v>
      </c>
      <c r="B67" s="185"/>
    </row>
    <row r="68" spans="1:4" ht="26.45" customHeight="1" x14ac:dyDescent="0.25">
      <c r="A68" s="9" t="s">
        <v>275</v>
      </c>
      <c r="B68" s="46">
        <v>1497346</v>
      </c>
      <c r="D68" s="28" t="s">
        <v>276</v>
      </c>
    </row>
    <row r="69" spans="1:4" ht="26.45" customHeight="1" x14ac:dyDescent="0.25">
      <c r="A69" s="9" t="s">
        <v>277</v>
      </c>
      <c r="B69" s="46">
        <v>1536790</v>
      </c>
      <c r="D69" s="28" t="s">
        <v>278</v>
      </c>
    </row>
  </sheetData>
  <mergeCells count="9">
    <mergeCell ref="A67:B67"/>
    <mergeCell ref="A3:B3"/>
    <mergeCell ref="A58:B58"/>
    <mergeCell ref="A35:B35"/>
    <mergeCell ref="A1:D1"/>
    <mergeCell ref="A26:B26"/>
    <mergeCell ref="A19:B19"/>
    <mergeCell ref="A51:B51"/>
    <mergeCell ref="A45:B4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38" customWidth="1"/>
    <col min="2" max="16" width="12" customWidth="1"/>
    <col min="17" max="20" width="15" customWidth="1"/>
  </cols>
  <sheetData>
    <row r="1" spans="1:19" ht="21.75" customHeight="1" x14ac:dyDescent="0.25">
      <c r="A1" s="193" t="s">
        <v>279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</row>
    <row r="2" spans="1:19" ht="13.5" customHeight="1" x14ac:dyDescent="0.25">
      <c r="A2" s="54" t="s">
        <v>280</v>
      </c>
    </row>
    <row r="3" spans="1:19" ht="15.75" customHeight="1" x14ac:dyDescent="0.25">
      <c r="B3" s="194" t="s">
        <v>9</v>
      </c>
      <c r="C3" s="185"/>
      <c r="D3" s="185"/>
      <c r="E3" s="194" t="s">
        <v>10</v>
      </c>
      <c r="F3" s="185"/>
      <c r="G3" s="185"/>
      <c r="H3" s="194" t="s">
        <v>11</v>
      </c>
      <c r="I3" s="185"/>
      <c r="J3" s="185"/>
      <c r="K3" s="194" t="s">
        <v>12</v>
      </c>
      <c r="L3" s="185"/>
      <c r="M3" s="185"/>
      <c r="N3" s="194" t="s">
        <v>13</v>
      </c>
      <c r="O3" s="185"/>
      <c r="P3" s="185"/>
      <c r="Q3" s="195" t="s">
        <v>281</v>
      </c>
      <c r="R3" s="185"/>
      <c r="S3" s="185"/>
    </row>
    <row r="4" spans="1:19" x14ac:dyDescent="0.25">
      <c r="B4" s="55" t="s">
        <v>101</v>
      </c>
      <c r="C4" s="56" t="s">
        <v>102</v>
      </c>
      <c r="D4" s="57" t="s">
        <v>103</v>
      </c>
      <c r="E4" s="55" t="s">
        <v>101</v>
      </c>
      <c r="F4" s="56" t="s">
        <v>102</v>
      </c>
      <c r="G4" s="57" t="s">
        <v>103</v>
      </c>
      <c r="H4" s="55" t="s">
        <v>101</v>
      </c>
      <c r="I4" s="56" t="s">
        <v>102</v>
      </c>
      <c r="J4" s="57" t="s">
        <v>103</v>
      </c>
      <c r="K4" s="55" t="s">
        <v>101</v>
      </c>
      <c r="L4" s="56" t="s">
        <v>102</v>
      </c>
      <c r="M4" s="57" t="s">
        <v>103</v>
      </c>
      <c r="N4" s="55" t="s">
        <v>101</v>
      </c>
      <c r="O4" s="56" t="s">
        <v>102</v>
      </c>
      <c r="P4" s="57" t="s">
        <v>103</v>
      </c>
      <c r="Q4" s="55" t="s">
        <v>282</v>
      </c>
      <c r="R4" s="56" t="s">
        <v>283</v>
      </c>
      <c r="S4" s="57" t="s">
        <v>284</v>
      </c>
    </row>
    <row r="6" spans="1:19" x14ac:dyDescent="0.25">
      <c r="A6" s="1" t="s">
        <v>285</v>
      </c>
    </row>
    <row r="7" spans="1:19" x14ac:dyDescent="0.25">
      <c r="A7" s="7" t="s">
        <v>286</v>
      </c>
      <c r="B7" s="51">
        <f>Inputs!B6*(1+Inputs!B14)</f>
        <v>68.785920000000004</v>
      </c>
      <c r="C7" s="51">
        <f>Inputs!C6*(1+Inputs!C14)</f>
        <v>71.856719999999996</v>
      </c>
      <c r="D7" s="51">
        <f>Inputs!D6*(1+Inputs!D14)</f>
        <v>74.313359999999989</v>
      </c>
      <c r="E7" s="51">
        <f>B7*(1+Inputs!B15)</f>
        <v>75.664512000000016</v>
      </c>
      <c r="F7" s="51">
        <f>C7*(1+Inputs!C15)</f>
        <v>82.635227999999984</v>
      </c>
      <c r="G7" s="51">
        <f>D7*(1+Inputs!D15)</f>
        <v>87.689764799999978</v>
      </c>
      <c r="H7" s="51">
        <f>E7*(1+Inputs!B16)</f>
        <v>81.717672960000016</v>
      </c>
      <c r="I7" s="51">
        <f>F7*(1+Inputs!C16)</f>
        <v>93.377807639999972</v>
      </c>
      <c r="J7" s="51">
        <f>G7*(1+Inputs!D16)</f>
        <v>101.72012716799996</v>
      </c>
      <c r="K7" s="51">
        <f>H7*(1+Inputs!B17)</f>
        <v>87.437910067200022</v>
      </c>
      <c r="L7" s="51">
        <f>I7*(1+Inputs!C17)</f>
        <v>103.64936648039998</v>
      </c>
      <c r="M7" s="51">
        <f>J7*(1+Inputs!D17)</f>
        <v>115.96094497151996</v>
      </c>
      <c r="N7" s="51">
        <f>K7*(1+Inputs!B18)</f>
        <v>92.684184671232032</v>
      </c>
      <c r="O7" s="51">
        <f>L7*(1+Inputs!C18)</f>
        <v>112.97780946363598</v>
      </c>
      <c r="P7" s="51">
        <f>M7*(1+Inputs!D18)</f>
        <v>129.87625836810238</v>
      </c>
    </row>
    <row r="8" spans="1:19" x14ac:dyDescent="0.25">
      <c r="A8" s="9" t="s">
        <v>287</v>
      </c>
      <c r="B8" s="36">
        <f>Inputs!B14</f>
        <v>0.12</v>
      </c>
      <c r="C8" s="36">
        <f>Inputs!C14</f>
        <v>0.17</v>
      </c>
      <c r="D8" s="36">
        <f>Inputs!D14</f>
        <v>0.21</v>
      </c>
      <c r="E8" s="36">
        <f>Inputs!B15</f>
        <v>0.1</v>
      </c>
      <c r="F8" s="36">
        <f>Inputs!C15</f>
        <v>0.15</v>
      </c>
      <c r="G8" s="36">
        <f>Inputs!D15</f>
        <v>0.18</v>
      </c>
      <c r="H8" s="36">
        <f>Inputs!B16</f>
        <v>0.08</v>
      </c>
      <c r="I8" s="36">
        <f>Inputs!C16</f>
        <v>0.13</v>
      </c>
      <c r="J8" s="36">
        <f>Inputs!D16</f>
        <v>0.16</v>
      </c>
      <c r="K8" s="36">
        <f>Inputs!B17</f>
        <v>7.0000000000000007E-2</v>
      </c>
      <c r="L8" s="36">
        <f>Inputs!C17</f>
        <v>0.11</v>
      </c>
      <c r="M8" s="36">
        <f>Inputs!D17</f>
        <v>0.14000000000000001</v>
      </c>
      <c r="N8" s="36">
        <f>Inputs!B18</f>
        <v>0.06</v>
      </c>
      <c r="O8" s="36">
        <f>Inputs!C18</f>
        <v>0.09</v>
      </c>
      <c r="P8" s="36">
        <f>Inputs!D18</f>
        <v>0.12</v>
      </c>
    </row>
    <row r="10" spans="1:19" x14ac:dyDescent="0.25">
      <c r="A10" s="1" t="s">
        <v>288</v>
      </c>
    </row>
    <row r="11" spans="1:19" x14ac:dyDescent="0.25">
      <c r="A11" s="9" t="s">
        <v>289</v>
      </c>
      <c r="B11" s="36">
        <f>Inputs!B23</f>
        <v>0.22633893447961445</v>
      </c>
      <c r="C11" s="36">
        <f>Inputs!C23</f>
        <v>0.23833893447961443</v>
      </c>
      <c r="D11" s="36">
        <f>Inputs!D23</f>
        <v>0.24433893447961444</v>
      </c>
      <c r="E11" s="36">
        <f>Inputs!B24</f>
        <v>0.23475420085971083</v>
      </c>
      <c r="F11" s="36">
        <f>Inputs!C24</f>
        <v>0.25875420085971085</v>
      </c>
      <c r="G11" s="36">
        <f>Inputs!D24</f>
        <v>0.2707542008597108</v>
      </c>
      <c r="H11" s="36">
        <f>Inputs!B25</f>
        <v>0.24316946723980723</v>
      </c>
      <c r="I11" s="36">
        <f>Inputs!C25</f>
        <v>0.27916946723980723</v>
      </c>
      <c r="J11" s="36">
        <f>Inputs!D25</f>
        <v>0.29716946723980719</v>
      </c>
      <c r="K11" s="36">
        <f>Inputs!B26</f>
        <v>0.25158473361990363</v>
      </c>
      <c r="L11" s="36">
        <f>Inputs!C26</f>
        <v>0.29958473361990362</v>
      </c>
      <c r="M11" s="36">
        <f>Inputs!D26</f>
        <v>0.32358473361990359</v>
      </c>
      <c r="N11" s="36">
        <f>Inputs!B27</f>
        <v>0.26</v>
      </c>
      <c r="O11" s="36">
        <f>Inputs!C27</f>
        <v>0.32</v>
      </c>
      <c r="P11" s="36">
        <f>Inputs!D27</f>
        <v>0.35</v>
      </c>
    </row>
    <row r="12" spans="1:19" x14ac:dyDescent="0.25">
      <c r="A12" s="7" t="s">
        <v>290</v>
      </c>
      <c r="B12" s="51">
        <f t="shared" ref="B12:P12" si="0">B7*B11</f>
        <v>15.568931840000003</v>
      </c>
      <c r="C12" s="51">
        <f t="shared" si="0"/>
        <v>17.126254079999999</v>
      </c>
      <c r="D12" s="51">
        <f t="shared" si="0"/>
        <v>18.157647199999996</v>
      </c>
      <c r="E12" s="51">
        <f t="shared" si="0"/>
        <v>17.762562048000003</v>
      </c>
      <c r="F12" s="51">
        <f t="shared" si="0"/>
        <v>21.382212383999999</v>
      </c>
      <c r="G12" s="51">
        <f t="shared" si="0"/>
        <v>23.742372191999991</v>
      </c>
      <c r="H12" s="51">
        <f t="shared" si="0"/>
        <v>19.871242997760007</v>
      </c>
      <c r="I12" s="51">
        <f t="shared" si="0"/>
        <v>26.068232810879994</v>
      </c>
      <c r="J12" s="51">
        <f t="shared" si="0"/>
        <v>30.228115998079986</v>
      </c>
      <c r="K12" s="51">
        <f t="shared" si="0"/>
        <v>21.998043312537607</v>
      </c>
      <c r="L12" s="51">
        <f t="shared" si="0"/>
        <v>31.051767846902393</v>
      </c>
      <c r="M12" s="51">
        <f t="shared" si="0"/>
        <v>37.523191488921583</v>
      </c>
      <c r="N12" s="51">
        <f t="shared" si="0"/>
        <v>24.097888014520329</v>
      </c>
      <c r="O12" s="51">
        <f t="shared" si="0"/>
        <v>36.152899028363514</v>
      </c>
      <c r="P12" s="51">
        <f t="shared" si="0"/>
        <v>45.456690428835834</v>
      </c>
    </row>
    <row r="13" spans="1:19" x14ac:dyDescent="0.25">
      <c r="A13" s="9" t="s">
        <v>291</v>
      </c>
      <c r="B13" s="51">
        <f>B7*Inputs!B30</f>
        <v>1.3757184</v>
      </c>
      <c r="C13" s="51">
        <f>C7*Inputs!C30</f>
        <v>1.4371343999999999</v>
      </c>
      <c r="D13" s="51">
        <f>D7*Inputs!D30</f>
        <v>1.4862671999999999</v>
      </c>
      <c r="E13" s="51">
        <f>E7*Inputs!B30</f>
        <v>1.5132902400000003</v>
      </c>
      <c r="F13" s="51">
        <f>F7*Inputs!C30</f>
        <v>1.6527045599999997</v>
      </c>
      <c r="G13" s="51">
        <f>G7*Inputs!D30</f>
        <v>1.7537952959999996</v>
      </c>
      <c r="H13" s="51">
        <f>H7*Inputs!B30</f>
        <v>1.6343534592000004</v>
      </c>
      <c r="I13" s="51">
        <f>I7*Inputs!C30</f>
        <v>1.8675561527999995</v>
      </c>
      <c r="J13" s="51">
        <f>J7*Inputs!D30</f>
        <v>2.0344025433599993</v>
      </c>
      <c r="K13" s="51">
        <f>K7*Inputs!B30</f>
        <v>1.7487582013440004</v>
      </c>
      <c r="L13" s="51">
        <f>L7*Inputs!C30</f>
        <v>2.0729873296079995</v>
      </c>
      <c r="M13" s="51">
        <f>M7*Inputs!D30</f>
        <v>2.3192188994303993</v>
      </c>
      <c r="N13" s="51">
        <f>N7*Inputs!B30</f>
        <v>1.8536836934246406</v>
      </c>
      <c r="O13" s="51">
        <f>O7*Inputs!C30</f>
        <v>2.2595561892727196</v>
      </c>
      <c r="P13" s="51">
        <f>P7*Inputs!D30</f>
        <v>2.5975251673620479</v>
      </c>
    </row>
    <row r="14" spans="1:19" x14ac:dyDescent="0.25">
      <c r="A14" s="7" t="s">
        <v>292</v>
      </c>
      <c r="B14" s="51">
        <f t="shared" ref="B14:P14" si="1">B12-B13</f>
        <v>14.193213440000003</v>
      </c>
      <c r="C14" s="51">
        <f t="shared" si="1"/>
        <v>15.689119679999999</v>
      </c>
      <c r="D14" s="51">
        <f t="shared" si="1"/>
        <v>16.671379999999996</v>
      </c>
      <c r="E14" s="51">
        <f t="shared" si="1"/>
        <v>16.249271808000003</v>
      </c>
      <c r="F14" s="51">
        <f t="shared" si="1"/>
        <v>19.729507823999999</v>
      </c>
      <c r="G14" s="51">
        <f t="shared" si="1"/>
        <v>21.988576895999991</v>
      </c>
      <c r="H14" s="51">
        <f t="shared" si="1"/>
        <v>18.236889538560007</v>
      </c>
      <c r="I14" s="51">
        <f t="shared" si="1"/>
        <v>24.200676658079995</v>
      </c>
      <c r="J14" s="51">
        <f t="shared" si="1"/>
        <v>28.193713454719987</v>
      </c>
      <c r="K14" s="51">
        <f t="shared" si="1"/>
        <v>20.249285111193608</v>
      </c>
      <c r="L14" s="51">
        <f t="shared" si="1"/>
        <v>28.978780517294393</v>
      </c>
      <c r="M14" s="51">
        <f t="shared" si="1"/>
        <v>35.203972589491187</v>
      </c>
      <c r="N14" s="51">
        <f t="shared" si="1"/>
        <v>22.244204321095687</v>
      </c>
      <c r="O14" s="51">
        <f t="shared" si="1"/>
        <v>33.893342839090792</v>
      </c>
      <c r="P14" s="51">
        <f t="shared" si="1"/>
        <v>42.859165261473784</v>
      </c>
    </row>
    <row r="16" spans="1:19" x14ac:dyDescent="0.25">
      <c r="A16" s="1" t="s">
        <v>293</v>
      </c>
    </row>
    <row r="17" spans="1:19" x14ac:dyDescent="0.25">
      <c r="A17" s="9" t="s">
        <v>294</v>
      </c>
      <c r="B17" s="51">
        <f>B14*Inputs!B31</f>
        <v>3.5483033600000007</v>
      </c>
      <c r="C17" s="51">
        <f>C14*Inputs!C31</f>
        <v>3.4516063295999997</v>
      </c>
      <c r="D17" s="51">
        <f>D14*Inputs!D31</f>
        <v>3.3342759999999991</v>
      </c>
      <c r="E17" s="51">
        <f>E14*Inputs!B31</f>
        <v>4.0623179520000008</v>
      </c>
      <c r="F17" s="51">
        <f>F14*Inputs!C31</f>
        <v>4.3404917212799994</v>
      </c>
      <c r="G17" s="51">
        <f>G14*Inputs!D31</f>
        <v>4.3977153791999983</v>
      </c>
      <c r="H17" s="51">
        <f>H14*Inputs!B31</f>
        <v>4.5592223846400017</v>
      </c>
      <c r="I17" s="51">
        <f>I14*Inputs!C31</f>
        <v>5.324148864777599</v>
      </c>
      <c r="J17" s="51">
        <f>J14*Inputs!D31</f>
        <v>5.6387426909439977</v>
      </c>
      <c r="K17" s="51">
        <f>K14*Inputs!B31</f>
        <v>5.0623212777984019</v>
      </c>
      <c r="L17" s="51">
        <f>L14*Inputs!C31</f>
        <v>6.3753317138047665</v>
      </c>
      <c r="M17" s="51">
        <f>M14*Inputs!D31</f>
        <v>7.0407945178982381</v>
      </c>
      <c r="N17" s="51">
        <f>N14*Inputs!B31</f>
        <v>5.5610510802739217</v>
      </c>
      <c r="O17" s="51">
        <f>O14*Inputs!C31</f>
        <v>7.4565354245999744</v>
      </c>
      <c r="P17" s="51">
        <f>P14*Inputs!D31</f>
        <v>8.5718330522947568</v>
      </c>
    </row>
    <row r="18" spans="1:19" x14ac:dyDescent="0.25">
      <c r="A18" s="9" t="s">
        <v>295</v>
      </c>
      <c r="B18" s="51">
        <f>B14*(1-Inputs!B31)</f>
        <v>10.644910080000002</v>
      </c>
      <c r="C18" s="51">
        <f>C14*(1-Inputs!C31)</f>
        <v>12.2375133504</v>
      </c>
      <c r="D18" s="51">
        <f>D14*(1-Inputs!D31)</f>
        <v>13.337103999999997</v>
      </c>
      <c r="E18" s="51">
        <f>E14*(1-Inputs!B31)</f>
        <v>12.186953856000002</v>
      </c>
      <c r="F18" s="51">
        <f>F14*(1-Inputs!C31)</f>
        <v>15.389016102719999</v>
      </c>
      <c r="G18" s="51">
        <f>G14*(1-Inputs!D31)</f>
        <v>17.590861516799993</v>
      </c>
      <c r="H18" s="51">
        <f>H14*(1-Inputs!B31)</f>
        <v>13.677667153920005</v>
      </c>
      <c r="I18" s="51">
        <f>I14*(1-Inputs!C31)</f>
        <v>18.876527793302397</v>
      </c>
      <c r="J18" s="51">
        <f>J14*(1-Inputs!D31)</f>
        <v>22.554970763775991</v>
      </c>
      <c r="K18" s="51">
        <f>K14*(1-Inputs!B31)</f>
        <v>15.186963833395206</v>
      </c>
      <c r="L18" s="51">
        <f>L14*(1-Inputs!C31)</f>
        <v>22.603448803489627</v>
      </c>
      <c r="M18" s="51">
        <f>M14*(1-Inputs!D31)</f>
        <v>28.163178071592952</v>
      </c>
      <c r="N18" s="51">
        <f>N14*(1-Inputs!B31)</f>
        <v>16.683153240821767</v>
      </c>
      <c r="O18" s="51">
        <f>O14*(1-Inputs!C31)</f>
        <v>26.436807414490819</v>
      </c>
      <c r="P18" s="51">
        <f>P14*(1-Inputs!D31)</f>
        <v>34.287332209179027</v>
      </c>
    </row>
    <row r="19" spans="1:19" x14ac:dyDescent="0.25">
      <c r="A19" s="9" t="s">
        <v>296</v>
      </c>
      <c r="B19" s="51">
        <f>-B7*Inputs!B32</f>
        <v>-2.0635775999999999</v>
      </c>
      <c r="C19" s="51">
        <f>-C7*Inputs!C32</f>
        <v>-1.9401314399999998</v>
      </c>
      <c r="D19" s="51">
        <f>-D7*Inputs!D32</f>
        <v>-1.8578339999999998</v>
      </c>
      <c r="E19" s="51">
        <f>-E7*Inputs!B32</f>
        <v>-2.2699353600000003</v>
      </c>
      <c r="F19" s="51">
        <f>-F7*Inputs!C32</f>
        <v>-2.2311511559999997</v>
      </c>
      <c r="G19" s="51">
        <f>-G7*Inputs!D32</f>
        <v>-2.1922441199999994</v>
      </c>
      <c r="H19" s="51">
        <f>-H7*Inputs!B32</f>
        <v>-2.4515301888000005</v>
      </c>
      <c r="I19" s="51">
        <f>-I7*Inputs!C32</f>
        <v>-2.5212008062799991</v>
      </c>
      <c r="J19" s="51">
        <f>-J7*Inputs!D32</f>
        <v>-2.5430031791999994</v>
      </c>
      <c r="K19" s="51">
        <f>-K7*Inputs!B32</f>
        <v>-2.6231373020160005</v>
      </c>
      <c r="L19" s="51">
        <f>-L7*Inputs!C32</f>
        <v>-2.7985328949707995</v>
      </c>
      <c r="M19" s="51">
        <f>-M7*Inputs!D32</f>
        <v>-2.8990236242879992</v>
      </c>
      <c r="N19" s="51">
        <f>-N7*Inputs!B32</f>
        <v>-2.7805255401369608</v>
      </c>
      <c r="O19" s="51">
        <f>-O7*Inputs!C32</f>
        <v>-3.0504008555181712</v>
      </c>
      <c r="P19" s="51">
        <f>-P7*Inputs!D32</f>
        <v>-3.2469064592025596</v>
      </c>
    </row>
    <row r="20" spans="1:19" x14ac:dyDescent="0.25">
      <c r="A20" s="9" t="s">
        <v>297</v>
      </c>
      <c r="B20" s="51">
        <f>-(B7-Inputs!B6)*Inputs!B33</f>
        <v>-0.73699200000000076</v>
      </c>
      <c r="C20" s="51">
        <f>-(C7-Inputs!C6)*Inputs!C33</f>
        <v>-0.73085040000000001</v>
      </c>
      <c r="D20" s="51">
        <f>-(D7-Inputs!D6)*Inputs!D33</f>
        <v>-0.64486799999999966</v>
      </c>
      <c r="E20" s="51">
        <f>-(E7-B7)*Inputs!B33</f>
        <v>-0.68785920000000123</v>
      </c>
      <c r="F20" s="51">
        <f>-(F7-C7)*Inputs!C33</f>
        <v>-0.75449555999999918</v>
      </c>
      <c r="G20" s="51">
        <f>-(G7-D7)*Inputs!D33</f>
        <v>-0.66882023999999951</v>
      </c>
      <c r="H20" s="51">
        <f>-(H7-E7)*Inputs!B33</f>
        <v>-0.60531609600000003</v>
      </c>
      <c r="I20" s="51">
        <f>-(I7-F7)*Inputs!C33</f>
        <v>-0.75198057479999925</v>
      </c>
      <c r="J20" s="51">
        <f>-(J7-G7)*Inputs!D33</f>
        <v>-0.70151811839999922</v>
      </c>
      <c r="K20" s="51">
        <f>-(K7-H7)*Inputs!B33</f>
        <v>-0.57202371072000069</v>
      </c>
      <c r="L20" s="51">
        <f>-(L7-I7)*Inputs!C33</f>
        <v>-0.71900911882800034</v>
      </c>
      <c r="M20" s="51">
        <f>-(M7-J7)*Inputs!D33</f>
        <v>-0.71204089017600014</v>
      </c>
      <c r="N20" s="51">
        <f>-(N7-K7)*Inputs!B33</f>
        <v>-0.52462746040320096</v>
      </c>
      <c r="O20" s="51">
        <f>-(O7-L7)*Inputs!C33</f>
        <v>-0.65299100882652017</v>
      </c>
      <c r="P20" s="51">
        <f>-(P7-M7)*Inputs!D33</f>
        <v>-0.69576566982912103</v>
      </c>
    </row>
    <row r="21" spans="1:19" x14ac:dyDescent="0.25">
      <c r="A21" s="7" t="s">
        <v>298</v>
      </c>
      <c r="B21" s="58">
        <f t="shared" ref="B21:P21" si="2">B18+B13+B19+B20</f>
        <v>9.2200588800000016</v>
      </c>
      <c r="C21" s="58">
        <f t="shared" si="2"/>
        <v>11.003665910400001</v>
      </c>
      <c r="D21" s="58">
        <f t="shared" si="2"/>
        <v>12.320669199999998</v>
      </c>
      <c r="E21" s="58">
        <f t="shared" si="2"/>
        <v>10.742449536000001</v>
      </c>
      <c r="F21" s="58">
        <f t="shared" si="2"/>
        <v>14.056073946720002</v>
      </c>
      <c r="G21" s="58">
        <f t="shared" si="2"/>
        <v>16.483592452799996</v>
      </c>
      <c r="H21" s="58">
        <f t="shared" si="2"/>
        <v>12.255174328320006</v>
      </c>
      <c r="I21" s="58">
        <f t="shared" si="2"/>
        <v>17.470902565022399</v>
      </c>
      <c r="J21" s="58">
        <f t="shared" si="2"/>
        <v>21.344852009535991</v>
      </c>
      <c r="K21" s="58">
        <f t="shared" si="2"/>
        <v>13.740561022003206</v>
      </c>
      <c r="L21" s="58">
        <f t="shared" si="2"/>
        <v>21.158894119298825</v>
      </c>
      <c r="M21" s="58">
        <f t="shared" si="2"/>
        <v>26.871332456559355</v>
      </c>
      <c r="N21" s="58">
        <f t="shared" si="2"/>
        <v>15.231683933706249</v>
      </c>
      <c r="O21" s="58">
        <f t="shared" si="2"/>
        <v>24.992971739418845</v>
      </c>
      <c r="P21" s="58">
        <f t="shared" si="2"/>
        <v>32.942185247509393</v>
      </c>
    </row>
    <row r="22" spans="1:19" x14ac:dyDescent="0.25">
      <c r="A22" s="9" t="s">
        <v>299</v>
      </c>
      <c r="B22" s="51">
        <f t="shared" ref="B22:P22" si="3">B12-B17+B19+B20</f>
        <v>9.2200588800000016</v>
      </c>
      <c r="C22" s="51">
        <f t="shared" si="3"/>
        <v>11.003665910399999</v>
      </c>
      <c r="D22" s="51">
        <f t="shared" si="3"/>
        <v>12.320669199999998</v>
      </c>
      <c r="E22" s="51">
        <f t="shared" si="3"/>
        <v>10.742449536000001</v>
      </c>
      <c r="F22" s="51">
        <f t="shared" si="3"/>
        <v>14.056073946720002</v>
      </c>
      <c r="G22" s="51">
        <f t="shared" si="3"/>
        <v>16.483592452799996</v>
      </c>
      <c r="H22" s="51">
        <f t="shared" si="3"/>
        <v>12.255174328320006</v>
      </c>
      <c r="I22" s="51">
        <f t="shared" si="3"/>
        <v>17.470902565022399</v>
      </c>
      <c r="J22" s="51">
        <f t="shared" si="3"/>
        <v>21.344852009535987</v>
      </c>
      <c r="K22" s="51">
        <f t="shared" si="3"/>
        <v>13.740561022003206</v>
      </c>
      <c r="L22" s="51">
        <f t="shared" si="3"/>
        <v>21.158894119298825</v>
      </c>
      <c r="M22" s="51">
        <f t="shared" si="3"/>
        <v>26.871332456559347</v>
      </c>
      <c r="N22" s="51">
        <f t="shared" si="3"/>
        <v>15.231683933706249</v>
      </c>
      <c r="O22" s="51">
        <f t="shared" si="3"/>
        <v>24.992971739418849</v>
      </c>
      <c r="P22" s="51">
        <f t="shared" si="3"/>
        <v>32.942185247509393</v>
      </c>
    </row>
    <row r="24" spans="1:19" x14ac:dyDescent="0.25">
      <c r="A24" s="1" t="s">
        <v>300</v>
      </c>
    </row>
    <row r="25" spans="1:19" x14ac:dyDescent="0.25">
      <c r="A25" s="9" t="s">
        <v>301</v>
      </c>
      <c r="B25" s="59">
        <v>0.5</v>
      </c>
      <c r="C25" s="59">
        <v>0.5</v>
      </c>
      <c r="D25" s="59">
        <v>0.5</v>
      </c>
      <c r="E25" s="59">
        <v>1.5</v>
      </c>
      <c r="F25" s="59">
        <v>1.5</v>
      </c>
      <c r="G25" s="59">
        <v>1.5</v>
      </c>
      <c r="H25" s="59">
        <v>2.5</v>
      </c>
      <c r="I25" s="59">
        <v>2.5</v>
      </c>
      <c r="J25" s="59">
        <v>2.5</v>
      </c>
      <c r="K25" s="59">
        <v>3.5</v>
      </c>
      <c r="L25" s="59">
        <v>3.5</v>
      </c>
      <c r="M25" s="59">
        <v>3.5</v>
      </c>
      <c r="N25" s="59">
        <v>4.5</v>
      </c>
      <c r="O25" s="59">
        <v>4.5</v>
      </c>
      <c r="P25" s="59">
        <v>4.5</v>
      </c>
    </row>
    <row r="26" spans="1:19" x14ac:dyDescent="0.25">
      <c r="A26" s="9" t="s">
        <v>302</v>
      </c>
      <c r="B26" s="51">
        <f>1/(1+Inputs!B37)^0.5</f>
        <v>0.95130298830898818</v>
      </c>
      <c r="C26" s="51">
        <f>1/(1+Inputs!C37)^0.5</f>
        <v>0.95563696513499319</v>
      </c>
      <c r="D26" s="51">
        <f>1/(1+Inputs!D37)^0.5</f>
        <v>0.96003072147463864</v>
      </c>
      <c r="E26" s="51">
        <f>1/(1+Inputs!B37)^1.5</f>
        <v>0.86090768172759113</v>
      </c>
      <c r="F26" s="51">
        <f>1/(1+Inputs!C37)^1.5</f>
        <v>0.87272782204108956</v>
      </c>
      <c r="G26" s="51">
        <f>1/(1+Inputs!D37)^1.5</f>
        <v>0.88482094145127999</v>
      </c>
      <c r="H26" s="51">
        <f>1/(1+Inputs!B37)^2.5</f>
        <v>0.77910197441410955</v>
      </c>
      <c r="I26" s="51">
        <f>1/(1+Inputs!C37)^2.5</f>
        <v>0.79701170962656598</v>
      </c>
      <c r="J26" s="51">
        <f>1/(1+Inputs!D37)^2.5</f>
        <v>0.81550317184449761</v>
      </c>
      <c r="K26" s="51">
        <f>1/(1+Inputs!B37)^3.5</f>
        <v>0.70506966010326666</v>
      </c>
      <c r="L26" s="51">
        <f>1/(1+Inputs!C37)^3.5</f>
        <v>0.72786457500143009</v>
      </c>
      <c r="M26" s="51">
        <f>1/(1+Inputs!D37)^3.5</f>
        <v>0.75161582658479054</v>
      </c>
      <c r="N26" s="51">
        <f>1/(1+Inputs!B37)^4.5</f>
        <v>0.63807209059119152</v>
      </c>
      <c r="O26" s="51">
        <f>1/(1+Inputs!C37)^4.5</f>
        <v>0.66471650685062111</v>
      </c>
      <c r="P26" s="51">
        <f>1/(1+Inputs!D37)^4.5</f>
        <v>0.6927334807233092</v>
      </c>
    </row>
    <row r="27" spans="1:19" x14ac:dyDescent="0.25">
      <c r="A27" s="9" t="s">
        <v>303</v>
      </c>
      <c r="B27" s="51">
        <f t="shared" ref="B27:P27" si="4">B21*B26</f>
        <v>8.7710695649288244</v>
      </c>
      <c r="C27" s="51">
        <f t="shared" si="4"/>
        <v>10.515509895974038</v>
      </c>
      <c r="D27" s="51">
        <f t="shared" si="4"/>
        <v>11.828220941126357</v>
      </c>
      <c r="E27" s="51">
        <f t="shared" si="4"/>
        <v>9.2482573261133982</v>
      </c>
      <c r="F27" s="51">
        <f t="shared" si="4"/>
        <v>12.267126801969448</v>
      </c>
      <c r="G27" s="51">
        <f t="shared" si="4"/>
        <v>14.585027792585706</v>
      </c>
      <c r="H27" s="51">
        <f t="shared" si="4"/>
        <v>9.5480305159832248</v>
      </c>
      <c r="I27" s="51">
        <f t="shared" si="4"/>
        <v>13.924513922067659</v>
      </c>
      <c r="J27" s="51">
        <f t="shared" si="4"/>
        <v>17.406794516327999</v>
      </c>
      <c r="K27" s="51">
        <f t="shared" si="4"/>
        <v>9.6880526894119949</v>
      </c>
      <c r="L27" s="51">
        <f t="shared" si="4"/>
        <v>15.400809475643698</v>
      </c>
      <c r="M27" s="51">
        <f t="shared" si="4"/>
        <v>20.19691875577157</v>
      </c>
      <c r="N27" s="51">
        <f t="shared" si="4"/>
        <v>9.7189124108042098</v>
      </c>
      <c r="O27" s="51">
        <f t="shared" si="4"/>
        <v>16.613240870442787</v>
      </c>
      <c r="P27" s="51">
        <f t="shared" si="4"/>
        <v>22.82015464913923</v>
      </c>
    </row>
    <row r="29" spans="1:19" x14ac:dyDescent="0.25">
      <c r="A29" s="1" t="s">
        <v>304</v>
      </c>
      <c r="Q29" s="15" t="s">
        <v>101</v>
      </c>
      <c r="R29" s="34" t="s">
        <v>102</v>
      </c>
      <c r="S29" s="17" t="s">
        <v>103</v>
      </c>
    </row>
    <row r="30" spans="1:19" x14ac:dyDescent="0.25">
      <c r="A30" s="9" t="s">
        <v>305</v>
      </c>
      <c r="Q30" s="51">
        <f>B27+E27+H27+K27+N27</f>
        <v>46.974322507241652</v>
      </c>
      <c r="R30" s="51">
        <f>C27+F27+I27+L27+O27</f>
        <v>68.721200966097626</v>
      </c>
      <c r="S30" s="51">
        <f>D27+G27+J27+M27+P27</f>
        <v>86.837116654950847</v>
      </c>
    </row>
    <row r="31" spans="1:19" x14ac:dyDescent="0.25">
      <c r="A31" s="9" t="s">
        <v>306</v>
      </c>
      <c r="Q31" s="51">
        <f>N21*(1+Inputs!B38)</f>
        <v>15.536317612380374</v>
      </c>
      <c r="R31" s="51">
        <f>O21*(1+Inputs!C38)</f>
        <v>25.617796032904312</v>
      </c>
      <c r="S31" s="51">
        <f>P21*(1+Inputs!D38)</f>
        <v>33.930450804934672</v>
      </c>
    </row>
    <row r="32" spans="1:19" x14ac:dyDescent="0.25">
      <c r="A32" s="9" t="s">
        <v>307</v>
      </c>
      <c r="Q32" s="51">
        <f>Q31/(Inputs!B37-Inputs!B38)</f>
        <v>182.780207204475</v>
      </c>
      <c r="R32" s="51">
        <f>R31/(Inputs!C37-Inputs!C38)</f>
        <v>365.96851475577586</v>
      </c>
      <c r="S32" s="51">
        <f>S31/(Inputs!D37-Inputs!D38)</f>
        <v>616.91728736244852</v>
      </c>
    </row>
    <row r="33" spans="1:19" x14ac:dyDescent="0.25">
      <c r="A33" s="9" t="s">
        <v>308</v>
      </c>
      <c r="Q33" s="51">
        <f>Q32/(1+Inputs!B37)^5</f>
        <v>110.94756503413629</v>
      </c>
      <c r="R33" s="51">
        <f>R32/(1+Inputs!C37)^5</f>
        <v>232.47332519498192</v>
      </c>
      <c r="S33" s="51">
        <f>S32/(1+Inputs!D37)^5</f>
        <v>410.27801850791343</v>
      </c>
    </row>
    <row r="34" spans="1:19" x14ac:dyDescent="0.25">
      <c r="A34" s="7" t="s">
        <v>309</v>
      </c>
      <c r="Q34" s="52">
        <f>Q30+Q33</f>
        <v>157.92188754137794</v>
      </c>
      <c r="R34" s="52">
        <f>R30+R33</f>
        <v>301.19452616107958</v>
      </c>
      <c r="S34" s="52">
        <f>S30+S33</f>
        <v>497.11513516286425</v>
      </c>
    </row>
    <row r="36" spans="1:19" x14ac:dyDescent="0.25">
      <c r="A36" s="9" t="s">
        <v>310</v>
      </c>
      <c r="Q36" s="51">
        <f>N12*Inputs!B39</f>
        <v>361.46832021780494</v>
      </c>
      <c r="R36" s="51">
        <f>O12*Inputs!C39</f>
        <v>542.29348542545267</v>
      </c>
      <c r="S36" s="51">
        <f>P12*Inputs!D39</f>
        <v>681.85035643253752</v>
      </c>
    </row>
    <row r="37" spans="1:19" x14ac:dyDescent="0.25">
      <c r="A37" s="9" t="s">
        <v>311</v>
      </c>
      <c r="Q37" s="51">
        <f>Q36/(1+Inputs!B37)^5</f>
        <v>219.41122935855304</v>
      </c>
      <c r="R37" s="51">
        <f>R36/(1+Inputs!C37)^5</f>
        <v>344.47982464437342</v>
      </c>
      <c r="S37" s="51">
        <f>S36/(1+Inputs!D37)^5</f>
        <v>453.46145891304803</v>
      </c>
    </row>
    <row r="38" spans="1:19" x14ac:dyDescent="0.25">
      <c r="A38" s="7" t="s">
        <v>312</v>
      </c>
      <c r="Q38" s="52">
        <f>Q30+Q37</f>
        <v>266.3855518657947</v>
      </c>
      <c r="R38" s="52">
        <f>R30+R37</f>
        <v>413.20102561047105</v>
      </c>
      <c r="S38" s="52">
        <f>S30+S37</f>
        <v>540.29857556799891</v>
      </c>
    </row>
    <row r="40" spans="1:19" x14ac:dyDescent="0.25">
      <c r="A40" s="9" t="s">
        <v>313</v>
      </c>
      <c r="Q40" s="42">
        <f>Q32/N12</f>
        <v>7.5849056603773608</v>
      </c>
      <c r="R40" s="42">
        <f>R32/O12</f>
        <v>10.122798574705108</v>
      </c>
      <c r="S40" s="42">
        <f>S32/P12</f>
        <v>13.571539888682741</v>
      </c>
    </row>
    <row r="41" spans="1:19" x14ac:dyDescent="0.25">
      <c r="A41" s="9" t="s">
        <v>314</v>
      </c>
      <c r="Q41" s="36">
        <f>Q33/Q34</f>
        <v>0.70254710579663215</v>
      </c>
      <c r="R41" s="36">
        <f>R33/R34</f>
        <v>0.7718378157731014</v>
      </c>
      <c r="S41" s="36">
        <f>S33/S34</f>
        <v>0.82531789818368462</v>
      </c>
    </row>
    <row r="42" spans="1:19" x14ac:dyDescent="0.25">
      <c r="A42" s="9" t="s">
        <v>315</v>
      </c>
      <c r="Q42" s="42">
        <f>Q34/Inputs!B7</f>
        <v>11.79930420960684</v>
      </c>
      <c r="R42" s="42">
        <f>R34/Inputs!B7</f>
        <v>22.504073980953343</v>
      </c>
      <c r="S42" s="42">
        <f>S34/Inputs!B7</f>
        <v>37.14249366130187</v>
      </c>
    </row>
    <row r="43" spans="1:19" x14ac:dyDescent="0.25">
      <c r="A43" s="9" t="s">
        <v>316</v>
      </c>
      <c r="Q43" s="42">
        <f>Q34/Inputs!B6</f>
        <v>2.5713476543796072</v>
      </c>
      <c r="R43" s="42">
        <f>R34/Inputs!B6</f>
        <v>4.9041703491122766</v>
      </c>
      <c r="S43" s="42">
        <f>S34/Inputs!B6</f>
        <v>8.0942284610340014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32" customWidth="1"/>
    <col min="2" max="8" width="14" customWidth="1"/>
  </cols>
  <sheetData>
    <row r="1" spans="1:8" ht="21.75" customHeight="1" x14ac:dyDescent="0.25">
      <c r="A1" s="189" t="s">
        <v>317</v>
      </c>
      <c r="B1" s="185"/>
      <c r="C1" s="185"/>
      <c r="D1" s="185"/>
      <c r="E1" s="185"/>
      <c r="F1" s="185"/>
      <c r="G1" s="185"/>
      <c r="H1" s="185"/>
    </row>
    <row r="2" spans="1:8" ht="13.5" customHeight="1" x14ac:dyDescent="0.25">
      <c r="A2" s="14" t="s">
        <v>318</v>
      </c>
    </row>
    <row r="4" spans="1:8" x14ac:dyDescent="0.25">
      <c r="A4" s="196" t="s">
        <v>319</v>
      </c>
      <c r="B4" s="185"/>
      <c r="C4" s="185"/>
      <c r="D4" s="185"/>
      <c r="E4" s="185"/>
      <c r="F4" s="185"/>
      <c r="G4" s="185"/>
    </row>
    <row r="5" spans="1:8" x14ac:dyDescent="0.25">
      <c r="A5" s="7" t="s">
        <v>320</v>
      </c>
      <c r="C5" s="60">
        <v>1.4999999999999999E-2</v>
      </c>
      <c r="D5" s="60">
        <v>0.02</v>
      </c>
      <c r="E5" s="60">
        <v>2.5000000000000001E-2</v>
      </c>
      <c r="F5" s="60">
        <v>0.03</v>
      </c>
      <c r="G5" s="60">
        <v>3.5000000000000003E-2</v>
      </c>
    </row>
    <row r="6" spans="1:8" x14ac:dyDescent="0.25">
      <c r="B6" s="37">
        <v>7.4999999999999997E-2</v>
      </c>
      <c r="C6" s="51">
        <f>DCF!C21/(1+$B6)^0.5+DCF!F21/(1+$B6)^1.5+DCF!I21/(1+$B6)^2.5+DCF!L21/(1+$B6)^3.5+DCF!O21/(1+$B6)^4.5+(DCF!O21*(1+0.015)/($B6-0.015))/(1+$B6)^5</f>
        <v>366.78589931233682</v>
      </c>
      <c r="D6" s="51">
        <f>DCF!C21/(1+$B6)^0.5+DCF!F21/(1+$B6)^1.5+DCF!I21/(1+$B6)^2.5+DCF!L21/(1+$B6)^3.5+DCF!O21/(1+$B6)^4.5+(DCF!O21*(1+0.02)/($B6-0.02))/(1+$B6)^5</f>
        <v>395.14158185652292</v>
      </c>
      <c r="E6" s="51">
        <f>DCF!C21/(1+$B6)^0.5+DCF!F21/(1+$B6)^1.5+DCF!I21/(1+$B6)^2.5+DCF!L21/(1+$B6)^3.5+DCF!O21/(1+$B6)^4.5+(DCF!O21*(1+0.025)/($B6-0.025))/(1+$B6)^5</f>
        <v>429.16840090954616</v>
      </c>
      <c r="F6" s="51">
        <f>DCF!C21/(1+$B6)^0.5+DCF!F21/(1+$B6)^1.5+DCF!I21/(1+$B6)^2.5+DCF!L21/(1+$B6)^3.5+DCF!O21/(1+$B6)^4.5+(DCF!O21*(1+0.03)/($B6-0.03))/(1+$B6)^5</f>
        <v>470.75673530768574</v>
      </c>
      <c r="G6" s="51">
        <f>DCF!C21/(1+$B6)^0.5+DCF!F21/(1+$B6)^1.5+DCF!I21/(1+$B6)^2.5+DCF!L21/(1+$B6)^3.5+DCF!O21/(1+$B6)^4.5+(DCF!O21*(1+0.035)/($B6-0.035))/(1+$B6)^5</f>
        <v>522.74215330536026</v>
      </c>
    </row>
    <row r="7" spans="1:8" x14ac:dyDescent="0.25">
      <c r="B7" s="37">
        <v>8.5000000000000006E-2</v>
      </c>
      <c r="C7" s="51">
        <f>DCF!C21/(1+$B7)^0.5+DCF!F21/(1+$B7)^1.5+DCF!I21/(1+$B7)^2.5+DCF!L21/(1+$B7)^3.5+DCF!O21/(1+$B7)^4.5+(DCF!O21*(1+0.015)/($B7-0.015))/(1+$B7)^5</f>
        <v>311.47656167232554</v>
      </c>
      <c r="D7" s="51">
        <f>DCF!C21/(1+$B7)^0.5+DCF!F21/(1+$B7)^1.5+DCF!I21/(1+$B7)^2.5+DCF!L21/(1+$B7)^3.5+DCF!O21/(1+$B7)^4.5+(DCF!O21*(1+0.02)/($B7-0.02))/(1+$B7)^5</f>
        <v>331.2944580400183</v>
      </c>
      <c r="E7" s="51">
        <f>DCF!C21/(1+$B7)^0.5+DCF!F21/(1+$B7)^1.5+DCF!I21/(1+$B7)^2.5+DCF!L21/(1+$B7)^3.5+DCF!O21/(1+$B7)^4.5+(DCF!O21*(1+0.025)/($B7-0.025))/(1+$B7)^5</f>
        <v>354.41533713565968</v>
      </c>
      <c r="F7" s="51">
        <f>DCF!C21/(1+$B7)^0.5+DCF!F21/(1+$B7)^1.5+DCF!I21/(1+$B7)^2.5+DCF!L21/(1+$B7)^3.5+DCF!O21/(1+$B7)^4.5+(DCF!O21*(1+0.03)/($B7-0.03))/(1+$B7)^5</f>
        <v>381.74001243050867</v>
      </c>
      <c r="G7" s="51">
        <f>DCF!C21/(1+$B7)^0.5+DCF!F21/(1+$B7)^1.5+DCF!I21/(1+$B7)^2.5+DCF!L21/(1+$B7)^3.5+DCF!O21/(1+$B7)^4.5+(DCF!O21*(1+0.035)/($B7-0.035))/(1+$B7)^5</f>
        <v>414.5296227843275</v>
      </c>
    </row>
    <row r="8" spans="1:8" x14ac:dyDescent="0.25">
      <c r="B8" s="37">
        <v>9.5000000000000001E-2</v>
      </c>
      <c r="C8" s="51">
        <f>DCF!C21/(1+$B8)^0.5+DCF!F21/(1+$B8)^1.5+DCF!I21/(1+$B8)^2.5+DCF!L21/(1+$B8)^3.5+DCF!O21/(1+$B8)^4.5+(DCF!O21*(1+0.015)/($B8-0.015))/(1+$B8)^5</f>
        <v>270.15083212589599</v>
      </c>
      <c r="D8" s="51">
        <f>DCF!C21/(1+$B8)^0.5+DCF!F21/(1+$B8)^1.5+DCF!I21/(1+$B8)^2.5+DCF!L21/(1+$B8)^3.5+DCF!O21/(1+$B8)^4.5+(DCF!O21*(1+0.02)/($B8-0.02))/(1+$B8)^5</f>
        <v>284.63788934231502</v>
      </c>
      <c r="E8" s="52">
        <f>DCF!C21/(1+$B8)^0.5+DCF!F21/(1+$B8)^1.5+DCF!I21/(1+$B8)^2.5+DCF!L21/(1+$B8)^3.5+DCF!O21/(1+$B8)^4.5+(DCF!O21*(1+0.025)/($B8-0.025))/(1+$B8)^5</f>
        <v>301.19452616107958</v>
      </c>
      <c r="F8" s="51">
        <f>DCF!C21/(1+$B8)^0.5+DCF!F21/(1+$B8)^1.5+DCF!I21/(1+$B8)^2.5+DCF!L21/(1+$B8)^3.5+DCF!O21/(1+$B8)^4.5+(DCF!O21*(1+0.03)/($B8-0.03))/(1+$B8)^5</f>
        <v>320.29833787503873</v>
      </c>
      <c r="G8" s="51">
        <f>DCF!C21/(1+$B8)^0.5+DCF!F21/(1+$B8)^1.5+DCF!I21/(1+$B8)^2.5+DCF!L21/(1+$B8)^3.5+DCF!O21/(1+$B8)^4.5+(DCF!O21*(1+0.035)/($B8-0.035))/(1+$B8)^5</f>
        <v>342.58611820799103</v>
      </c>
    </row>
    <row r="9" spans="1:8" x14ac:dyDescent="0.25">
      <c r="B9" s="37">
        <v>0.105</v>
      </c>
      <c r="C9" s="51">
        <f>DCF!C21/(1+$B9)^0.5+DCF!F21/(1+$B9)^1.5+DCF!I21/(1+$B9)^2.5+DCF!L21/(1+$B9)^3.5+DCF!O21/(1+$B9)^4.5+(DCF!O21*(1+0.015)/($B9-0.015))/(1+$B9)^5</f>
        <v>238.13836205198817</v>
      </c>
      <c r="D9" s="51">
        <f>DCF!C21/(1+$B9)^0.5+DCF!F21/(1+$B9)^1.5+DCF!I21/(1+$B9)^2.5+DCF!L21/(1+$B9)^3.5+DCF!O21/(1+$B9)^4.5+(DCF!O21*(1+0.02)/($B9-0.02))/(1+$B9)^5</f>
        <v>249.09500111478314</v>
      </c>
      <c r="E9" s="51">
        <f>DCF!C21/(1+$B9)^0.5+DCF!F21/(1+$B9)^1.5+DCF!I21/(1+$B9)^2.5+DCF!L21/(1+$B9)^3.5+DCF!O21/(1+$B9)^4.5+(DCF!O21*(1+0.025)/($B9-0.025))/(1+$B9)^5</f>
        <v>261.42122006042746</v>
      </c>
      <c r="F9" s="51">
        <f>DCF!C21/(1+$B9)^0.5+DCF!F21/(1+$B9)^1.5+DCF!I21/(1+$B9)^2.5+DCF!L21/(1+$B9)^3.5+DCF!O21/(1+$B9)^4.5+(DCF!O21*(1+0.03)/($B9-0.03))/(1+$B9)^5</f>
        <v>275.39093486549103</v>
      </c>
      <c r="G9" s="51">
        <f>DCF!C21/(1+$B9)^0.5+DCF!F21/(1+$B9)^1.5+DCF!I21/(1+$B9)^2.5+DCF!L21/(1+$B9)^3.5+DCF!O21/(1+$B9)^4.5+(DCF!O21*(1+0.035)/($B9-0.035))/(1+$B9)^5</f>
        <v>291.3563232141351</v>
      </c>
    </row>
    <row r="10" spans="1:8" x14ac:dyDescent="0.25">
      <c r="B10" s="37">
        <v>0.115</v>
      </c>
      <c r="C10" s="51">
        <f>DCF!C21/(1+$B10)^0.5+DCF!F21/(1+$B10)^1.5+DCF!I21/(1+$B10)^2.5+DCF!L21/(1+$B10)^3.5+DCF!O21/(1+$B10)^4.5+(DCF!O21*(1+0.015)/($B10-0.015))/(1+$B10)^5</f>
        <v>212.63756442805561</v>
      </c>
      <c r="D10" s="51">
        <f>DCF!C21/(1+$B10)^0.5+DCF!F21/(1+$B10)^1.5+DCF!I21/(1+$B10)^2.5+DCF!L21/(1+$B10)^3.5+DCF!O21/(1+$B10)^4.5+(DCF!O21*(1+0.02)/($B10-0.02))/(1+$B10)^5</f>
        <v>221.14825552355336</v>
      </c>
      <c r="E10" s="51">
        <f>DCF!C21/(1+$B10)^0.5+DCF!F21/(1+$B10)^1.5+DCF!I21/(1+$B10)^2.5+DCF!L21/(1+$B10)^3.5+DCF!O21/(1+$B10)^4.5+(DCF!O21*(1+0.025)/($B10-0.025))/(1+$B10)^5</f>
        <v>230.60457896299533</v>
      </c>
      <c r="F10" s="51">
        <f>DCF!C21/(1+$B10)^0.5+DCF!F21/(1+$B10)^1.5+DCF!I21/(1+$B10)^2.5+DCF!L21/(1+$B10)^3.5+DCF!O21/(1+$B10)^4.5+(DCF!O21*(1+0.03)/($B10-0.03))/(1+$B10)^5</f>
        <v>241.17341104237164</v>
      </c>
      <c r="G10" s="51">
        <f>DCF!C21/(1+$B10)^0.5+DCF!F21/(1+$B10)^1.5+DCF!I21/(1+$B10)^2.5+DCF!L21/(1+$B10)^3.5+DCF!O21/(1+$B10)^4.5+(DCF!O21*(1+0.035)/($B10-0.035))/(1+$B10)^5</f>
        <v>253.06334713166996</v>
      </c>
    </row>
    <row r="12" spans="1:8" x14ac:dyDescent="0.25">
      <c r="A12" s="61" t="s">
        <v>321</v>
      </c>
    </row>
    <row r="14" spans="1:8" x14ac:dyDescent="0.25">
      <c r="A14" s="196" t="s">
        <v>322</v>
      </c>
      <c r="B14" s="185"/>
      <c r="C14" s="185"/>
      <c r="D14" s="185"/>
      <c r="E14" s="185"/>
      <c r="F14" s="185"/>
      <c r="G14" s="185"/>
    </row>
    <row r="15" spans="1:8" x14ac:dyDescent="0.25">
      <c r="A15" s="7" t="s">
        <v>323</v>
      </c>
      <c r="C15" s="62">
        <v>10</v>
      </c>
      <c r="D15" s="62">
        <v>12.5</v>
      </c>
      <c r="E15" s="62">
        <v>15</v>
      </c>
      <c r="F15" s="62">
        <v>17.5</v>
      </c>
      <c r="G15" s="62">
        <v>20</v>
      </c>
    </row>
    <row r="16" spans="1:8" x14ac:dyDescent="0.25">
      <c r="B16" s="37">
        <v>7.4999999999999997E-2</v>
      </c>
      <c r="C16" s="51">
        <f>DCF!C21/(1+$B16)^0.5+DCF!F21/(1+$B16)^1.5+DCF!I21/(1+$B16)^2.5+DCF!L21/(1+$B16)^3.5+DCF!O21/(1+$B16)^4.5+(DCF!O12*10)/(1+$B16)^5</f>
        <v>324.10860056635227</v>
      </c>
      <c r="D16" s="51">
        <f>DCF!C21/(1+$B16)^0.5+DCF!F21/(1+$B16)^1.5+DCF!I21/(1+$B16)^2.5+DCF!L21/(1+$B16)^3.5+DCF!O21/(1+$B16)^4.5+(DCF!O12*12.5)/(1+$B16)^5</f>
        <v>387.06513532307406</v>
      </c>
      <c r="E16" s="51">
        <f>DCF!C21/(1+$B16)^0.5+DCF!F21/(1+$B16)^1.5+DCF!I21/(1+$B16)^2.5+DCF!L21/(1+$B16)^3.5+DCF!O21/(1+$B16)^4.5+(DCF!O12*15)/(1+$B16)^5</f>
        <v>450.02167007979591</v>
      </c>
      <c r="F16" s="51">
        <f>DCF!C21/(1+$B16)^0.5+DCF!F21/(1+$B16)^1.5+DCF!I21/(1+$B16)^2.5+DCF!L21/(1+$B16)^3.5+DCF!O21/(1+$B16)^4.5+(DCF!O12*17.5)/(1+$B16)^5</f>
        <v>512.97820483651776</v>
      </c>
      <c r="G16" s="51">
        <f>DCF!C21/(1+$B16)^0.5+DCF!F21/(1+$B16)^1.5+DCF!I21/(1+$B16)^2.5+DCF!L21/(1+$B16)^3.5+DCF!O21/(1+$B16)^4.5+(DCF!O12*20)/(1+$B16)^5</f>
        <v>575.93473959323956</v>
      </c>
    </row>
    <row r="17" spans="1:7" x14ac:dyDescent="0.25">
      <c r="B17" s="37">
        <v>8.5000000000000006E-2</v>
      </c>
      <c r="C17" s="51">
        <f>DCF!C21/(1+$B17)^0.5+DCF!F21/(1+$B17)^1.5+DCF!I21/(1+$B17)^2.5+DCF!L21/(1+$B17)^3.5+DCF!O21/(1+$B17)^4.5+(DCF!O12*10)/(1+$B17)^5</f>
        <v>310.8985707362196</v>
      </c>
      <c r="D17" s="51">
        <f>DCF!C21/(1+$B17)^0.5+DCF!F21/(1+$B17)^1.5+DCF!I21/(1+$B17)^2.5+DCF!L21/(1+$B17)^3.5+DCF!O21/(1+$B17)^4.5+(DCF!O12*12.5)/(1+$B17)^5</f>
        <v>371.00687082977487</v>
      </c>
      <c r="E17" s="51">
        <f>DCF!C21/(1+$B17)^0.5+DCF!F21/(1+$B17)^1.5+DCF!I21/(1+$B17)^2.5+DCF!L21/(1+$B17)^3.5+DCF!O21/(1+$B17)^4.5+(DCF!O12*15)/(1+$B17)^5</f>
        <v>431.11517092333008</v>
      </c>
      <c r="F17" s="51">
        <f>DCF!C21/(1+$B17)^0.5+DCF!F21/(1+$B17)^1.5+DCF!I21/(1+$B17)^2.5+DCF!L21/(1+$B17)^3.5+DCF!O21/(1+$B17)^4.5+(DCF!O12*17.5)/(1+$B17)^5</f>
        <v>491.22347101688541</v>
      </c>
      <c r="G17" s="51">
        <f>DCF!C21/(1+$B17)^0.5+DCF!F21/(1+$B17)^1.5+DCF!I21/(1+$B17)^2.5+DCF!L21/(1+$B17)^3.5+DCF!O21/(1+$B17)^4.5+(DCF!O12*20)/(1+$B17)^5</f>
        <v>551.33177111044063</v>
      </c>
    </row>
    <row r="18" spans="1:7" x14ac:dyDescent="0.25">
      <c r="B18" s="37">
        <v>9.5000000000000001E-2</v>
      </c>
      <c r="C18" s="51">
        <f>DCF!C21/(1+$B18)^0.5+DCF!F21/(1+$B18)^1.5+DCF!I21/(1+$B18)^2.5+DCF!L21/(1+$B18)^3.5+DCF!O21/(1+$B18)^4.5+(DCF!O12*10)/(1+$B18)^5</f>
        <v>298.37441739567993</v>
      </c>
      <c r="D18" s="51">
        <f>DCF!C21/(1+$B18)^0.5+DCF!F21/(1+$B18)^1.5+DCF!I21/(1+$B18)^2.5+DCF!L21/(1+$B18)^3.5+DCF!O21/(1+$B18)^4.5+(DCF!O12*12.5)/(1+$B18)^5</f>
        <v>355.78772150307549</v>
      </c>
      <c r="E18" s="52">
        <f>DCF!C21/(1+$B18)^0.5+DCF!F21/(1+$B18)^1.5+DCF!I21/(1+$B18)^2.5+DCF!L21/(1+$B18)^3.5+DCF!O21/(1+$B18)^4.5+(DCF!O12*15)/(1+$B18)^5</f>
        <v>413.20102561047105</v>
      </c>
      <c r="F18" s="51">
        <f>DCF!C21/(1+$B18)^0.5+DCF!F21/(1+$B18)^1.5+DCF!I21/(1+$B18)^2.5+DCF!L21/(1+$B18)^3.5+DCF!O21/(1+$B18)^4.5+(DCF!O12*17.5)/(1+$B18)^5</f>
        <v>470.61432971786661</v>
      </c>
      <c r="G18" s="51">
        <f>DCF!C21/(1+$B18)^0.5+DCF!F21/(1+$B18)^1.5+DCF!I21/(1+$B18)^2.5+DCF!L21/(1+$B18)^3.5+DCF!O21/(1+$B18)^4.5+(DCF!O12*20)/(1+$B18)^5</f>
        <v>528.02763382526223</v>
      </c>
    </row>
    <row r="19" spans="1:7" x14ac:dyDescent="0.25">
      <c r="B19" s="37">
        <v>0.105</v>
      </c>
      <c r="C19" s="51">
        <f>DCF!C21/(1+$B19)^0.5+DCF!F21/(1+$B19)^1.5+DCF!I21/(1+$B19)^2.5+DCF!L21/(1+$B19)^3.5+DCF!O21/(1+$B19)^4.5+(DCF!O12*10)/(1+$B19)^5</f>
        <v>286.49428507612572</v>
      </c>
      <c r="D19" s="51">
        <f>DCF!C21/(1+$B19)^0.5+DCF!F21/(1+$B19)^1.5+DCF!I21/(1+$B19)^2.5+DCF!L21/(1+$B19)^3.5+DCF!O21/(1+$B19)^4.5+(DCF!O12*12.5)/(1+$B19)^5</f>
        <v>341.35629909653278</v>
      </c>
      <c r="E19" s="51">
        <f>DCF!C21/(1+$B19)^0.5+DCF!F21/(1+$B19)^1.5+DCF!I21/(1+$B19)^2.5+DCF!L21/(1+$B19)^3.5+DCF!O21/(1+$B19)^4.5+(DCF!O12*15)/(1+$B19)^5</f>
        <v>396.21831311693978</v>
      </c>
      <c r="F19" s="51">
        <f>DCF!C21/(1+$B19)^0.5+DCF!F21/(1+$B19)^1.5+DCF!I21/(1+$B19)^2.5+DCF!L21/(1+$B19)^3.5+DCF!O21/(1+$B19)^4.5+(DCF!O12*17.5)/(1+$B19)^5</f>
        <v>451.08032713734684</v>
      </c>
      <c r="G19" s="51">
        <f>DCF!C21/(1+$B19)^0.5+DCF!F21/(1+$B19)^1.5+DCF!I21/(1+$B19)^2.5+DCF!L21/(1+$B19)^3.5+DCF!O21/(1+$B19)^4.5+(DCF!O12*20)/(1+$B19)^5</f>
        <v>505.94234115775384</v>
      </c>
    </row>
    <row r="20" spans="1:7" x14ac:dyDescent="0.25">
      <c r="B20" s="37">
        <v>0.115</v>
      </c>
      <c r="C20" s="51">
        <f>DCF!C21/(1+$B20)^0.5+DCF!F21/(1+$B20)^1.5+DCF!I21/(1+$B20)^2.5+DCF!L21/(1+$B20)^3.5+DCF!O21/(1+$B20)^4.5+(DCF!O12*10)/(1+$B20)^5</f>
        <v>275.21923178235392</v>
      </c>
      <c r="D20" s="51">
        <f>DCF!C21/(1+$B20)^0.5+DCF!F21/(1+$B20)^1.5+DCF!I21/(1+$B20)^2.5+DCF!L21/(1+$B20)^3.5+DCF!O21/(1+$B20)^4.5+(DCF!O12*12.5)/(1+$B20)^5</f>
        <v>327.66480058879262</v>
      </c>
      <c r="E20" s="51">
        <f>DCF!C21/(1+$B20)^0.5+DCF!F21/(1+$B20)^1.5+DCF!I21/(1+$B20)^2.5+DCF!L21/(1+$B20)^3.5+DCF!O21/(1+$B20)^4.5+(DCF!O12*15)/(1+$B20)^5</f>
        <v>380.11036939523137</v>
      </c>
      <c r="F20" s="51">
        <f>DCF!C21/(1+$B20)^0.5+DCF!F21/(1+$B20)^1.5+DCF!I21/(1+$B20)^2.5+DCF!L21/(1+$B20)^3.5+DCF!O21/(1+$B20)^4.5+(DCF!O12*17.5)/(1+$B20)^5</f>
        <v>432.55593820167007</v>
      </c>
      <c r="G20" s="51">
        <f>DCF!C21/(1+$B20)^0.5+DCF!F21/(1+$B20)^1.5+DCF!I21/(1+$B20)^2.5+DCF!L21/(1+$B20)^3.5+DCF!O21/(1+$B20)^4.5+(DCF!O12*20)/(1+$B20)^5</f>
        <v>485.00150700810883</v>
      </c>
    </row>
    <row r="22" spans="1:7" x14ac:dyDescent="0.25">
      <c r="A22" s="61" t="s">
        <v>324</v>
      </c>
    </row>
    <row r="23" spans="1:7" x14ac:dyDescent="0.25">
      <c r="A23" s="14" t="s">
        <v>325</v>
      </c>
    </row>
  </sheetData>
  <mergeCells count="3">
    <mergeCell ref="A1:H1"/>
    <mergeCell ref="A14:G14"/>
    <mergeCell ref="A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9"/>
  <sheetViews>
    <sheetView zoomScaleNormal="100" workbookViewId="0">
      <pane ySplit="4" topLeftCell="A5" activePane="bottomLeft" state="frozen"/>
      <selection pane="bottomLeft" activeCell="F41" sqref="F41"/>
    </sheetView>
  </sheetViews>
  <sheetFormatPr defaultColWidth="8.7109375" defaultRowHeight="15" x14ac:dyDescent="0.25"/>
  <cols>
    <col min="1" max="1" width="40" customWidth="1"/>
    <col min="2" max="4" width="16" customWidth="1"/>
    <col min="5" max="5" width="45" customWidth="1"/>
  </cols>
  <sheetData>
    <row r="1" spans="1:5" ht="21.75" customHeight="1" x14ac:dyDescent="0.25">
      <c r="A1" s="189" t="s">
        <v>326</v>
      </c>
      <c r="B1" s="185"/>
      <c r="C1" s="185"/>
      <c r="D1" s="185"/>
      <c r="E1" s="185"/>
    </row>
    <row r="2" spans="1:5" x14ac:dyDescent="0.25">
      <c r="A2" s="14" t="s">
        <v>327</v>
      </c>
    </row>
    <row r="4" spans="1:5" x14ac:dyDescent="0.25">
      <c r="B4" s="18" t="s">
        <v>328</v>
      </c>
      <c r="C4" s="17" t="s">
        <v>329</v>
      </c>
      <c r="D4" s="16" t="s">
        <v>330</v>
      </c>
      <c r="E4" s="63" t="s">
        <v>28</v>
      </c>
    </row>
    <row r="5" spans="1:5" x14ac:dyDescent="0.25">
      <c r="A5" s="9" t="s">
        <v>331</v>
      </c>
      <c r="B5" s="36">
        <f>Inputs!C21</f>
        <v>0.21792366809951805</v>
      </c>
      <c r="C5" s="36">
        <f>Inputs!C21</f>
        <v>0.21792366809951805</v>
      </c>
      <c r="D5" s="36">
        <f>Inputs!C21</f>
        <v>0.21792366809951805</v>
      </c>
    </row>
    <row r="6" spans="1:5" x14ac:dyDescent="0.25">
      <c r="A6" s="9" t="s">
        <v>130</v>
      </c>
      <c r="B6" s="36">
        <f>Inputs!C22</f>
        <v>0.32</v>
      </c>
      <c r="C6" s="36">
        <f>Inputs!C22</f>
        <v>0.32</v>
      </c>
      <c r="D6" s="36">
        <f>Inputs!C22</f>
        <v>0.32</v>
      </c>
    </row>
    <row r="8" spans="1:5" x14ac:dyDescent="0.25">
      <c r="A8" s="196" t="s">
        <v>332</v>
      </c>
      <c r="B8" s="185"/>
      <c r="C8" s="185"/>
      <c r="D8" s="185"/>
      <c r="E8" s="185"/>
    </row>
    <row r="9" spans="1:5" x14ac:dyDescent="0.25">
      <c r="A9" s="9" t="s">
        <v>9</v>
      </c>
      <c r="B9" s="36">
        <f>C5+(C6-C5)*0.2</f>
        <v>0.23833893447961443</v>
      </c>
      <c r="C9" s="36">
        <f>C5+(C6-C5)*0.3</f>
        <v>0.24854656766966263</v>
      </c>
      <c r="D9" s="36">
        <f>C5+(C6-C5)*0.1</f>
        <v>0.22813130128956624</v>
      </c>
      <c r="E9" s="28" t="s">
        <v>333</v>
      </c>
    </row>
    <row r="10" spans="1:5" x14ac:dyDescent="0.25">
      <c r="A10" s="9" t="s">
        <v>10</v>
      </c>
      <c r="B10" s="36">
        <f>C5+(C6-C5)*0.4</f>
        <v>0.25875420085971085</v>
      </c>
      <c r="C10" s="36">
        <f>C5+(C6-C5)*0.52</f>
        <v>0.27100336068776865</v>
      </c>
      <c r="D10" s="36">
        <f>C5+(C6-C5)*0.26</f>
        <v>0.24446351439364336</v>
      </c>
      <c r="E10" s="28" t="s">
        <v>334</v>
      </c>
    </row>
    <row r="11" spans="1:5" x14ac:dyDescent="0.25">
      <c r="A11" s="9" t="s">
        <v>11</v>
      </c>
      <c r="B11" s="36">
        <f>C5+(C6-C5)*0.6</f>
        <v>0.27916946723980723</v>
      </c>
      <c r="C11" s="36">
        <f>C5+(C6-C5)*0.72</f>
        <v>0.29141862706786503</v>
      </c>
      <c r="D11" s="36">
        <f>C5+(C6-C5)*0.48</f>
        <v>0.26692030741174938</v>
      </c>
      <c r="E11" s="28" t="s">
        <v>335</v>
      </c>
    </row>
    <row r="12" spans="1:5" x14ac:dyDescent="0.25">
      <c r="A12" s="9" t="s">
        <v>12</v>
      </c>
      <c r="B12" s="36">
        <f>C5+(C6-C5)*0.8</f>
        <v>0.29958473361990362</v>
      </c>
      <c r="C12" s="36">
        <f>C5+(C6-C5)*0.88</f>
        <v>0.30775084017194215</v>
      </c>
      <c r="D12" s="36">
        <f>C5+(C6-C5)*0.73</f>
        <v>0.29243939038686989</v>
      </c>
      <c r="E12" s="28" t="s">
        <v>336</v>
      </c>
    </row>
    <row r="13" spans="1:5" x14ac:dyDescent="0.25">
      <c r="A13" s="9" t="s">
        <v>13</v>
      </c>
      <c r="B13" s="36">
        <f>C5+(C6-C5)*1</f>
        <v>0.32</v>
      </c>
      <c r="C13" s="36">
        <f>C5+(C6-C5)*1</f>
        <v>0.32</v>
      </c>
      <c r="D13" s="36">
        <f>C5+(C6-C5)*1</f>
        <v>0.32</v>
      </c>
      <c r="E13" s="28" t="s">
        <v>337</v>
      </c>
    </row>
    <row r="15" spans="1:5" x14ac:dyDescent="0.25">
      <c r="A15" s="196" t="s">
        <v>338</v>
      </c>
      <c r="B15" s="185"/>
      <c r="C15" s="185"/>
      <c r="D15" s="185"/>
      <c r="E15" s="185"/>
    </row>
    <row r="16" spans="1:5" x14ac:dyDescent="0.25">
      <c r="A16" s="9" t="s">
        <v>339</v>
      </c>
      <c r="B16" s="51">
        <f>DCF!C7*(C5+(C6-C5)*0.2)</f>
        <v>17.126254079999999</v>
      </c>
      <c r="C16" s="51">
        <f>DCF!C7*(C5+(C6-C5)*0.3)</f>
        <v>17.859741119999999</v>
      </c>
      <c r="D16" s="51">
        <f>DCF!C7*(C5+(C6-C5)*0.1)</f>
        <v>16.392767039999999</v>
      </c>
      <c r="E16" s="28" t="s">
        <v>340</v>
      </c>
    </row>
    <row r="17" spans="1:5" x14ac:dyDescent="0.25">
      <c r="A17" s="9" t="s">
        <v>341</v>
      </c>
      <c r="B17" s="51">
        <f>DCF!F7*(C5+(C6-C5)*0.4)</f>
        <v>21.382212383999999</v>
      </c>
      <c r="C17" s="51">
        <f>DCF!F7*(C5+(C6-C5)*0.52)</f>
        <v>22.394424499199996</v>
      </c>
      <c r="D17" s="51">
        <f>DCF!F7*(C5+(C6-C5)*0.26)</f>
        <v>20.201298249599997</v>
      </c>
      <c r="E17" s="28" t="s">
        <v>342</v>
      </c>
    </row>
    <row r="18" spans="1:5" x14ac:dyDescent="0.25">
      <c r="A18" s="9" t="s">
        <v>343</v>
      </c>
      <c r="B18" s="51">
        <f>DCF!I7*(C5+(C6-C5)*0.6)</f>
        <v>26.068232810879994</v>
      </c>
      <c r="C18" s="51">
        <f>DCF!I7*(C5+(C6-C5)*0.72)</f>
        <v>27.21203250105599</v>
      </c>
      <c r="D18" s="51">
        <f>DCF!I7*(C5+(C6-C5)*0.48)</f>
        <v>24.924433120703991</v>
      </c>
      <c r="E18" s="28" t="s">
        <v>344</v>
      </c>
    </row>
    <row r="19" spans="1:5" x14ac:dyDescent="0.25">
      <c r="A19" s="9" t="s">
        <v>345</v>
      </c>
      <c r="B19" s="51">
        <f>DCF!L7*(C5+(C6-C5)*0.8)</f>
        <v>31.051767846902393</v>
      </c>
      <c r="C19" s="51">
        <f>DCF!L7*(C5+(C6-C5)*0.88)</f>
        <v>31.898179617632632</v>
      </c>
      <c r="D19" s="51">
        <f>DCF!L7*(C5+(C6-C5)*0.73)</f>
        <v>30.311157547513435</v>
      </c>
      <c r="E19" s="28" t="s">
        <v>346</v>
      </c>
    </row>
    <row r="20" spans="1:5" x14ac:dyDescent="0.25">
      <c r="A20" s="9" t="s">
        <v>347</v>
      </c>
      <c r="B20" s="51">
        <f>DCF!O7*(C5+(C6-C5)*1)</f>
        <v>36.152899028363514</v>
      </c>
      <c r="C20" s="51">
        <f>DCF!O7*(C5+(C6-C5)*1)</f>
        <v>36.152899028363514</v>
      </c>
      <c r="D20" s="51">
        <f>DCF!O7*(C5+(C6-C5)*1)</f>
        <v>36.152899028363514</v>
      </c>
      <c r="E20" s="28" t="s">
        <v>348</v>
      </c>
    </row>
    <row r="21" spans="1:5" x14ac:dyDescent="0.25">
      <c r="A21" s="9" t="s">
        <v>349</v>
      </c>
      <c r="B21" s="51">
        <f>(B16-DCF!C7*Inputs!C30)*(1-Inputs!C31)+DCF!C7*Inputs!C30-DCF!C7*Inputs!C32-(DCF!C7-Inputs!C6)*Inputs!C33</f>
        <v>11.003665910400001</v>
      </c>
      <c r="C21" s="51">
        <f>(C16-DCF!C7*Inputs!C30)*(1-Inputs!C31)+DCF!C7*Inputs!C30-DCF!C7*Inputs!C32-(DCF!C7-Inputs!C6)*Inputs!C33</f>
        <v>11.575785801599999</v>
      </c>
      <c r="D21" s="51">
        <f>(D16-DCF!C7*Inputs!C30)*(1-Inputs!C31)+DCF!C7*Inputs!C30-DCF!C7*Inputs!C32-(DCF!C7-Inputs!C6)*Inputs!C33</f>
        <v>10.431546019200001</v>
      </c>
    </row>
    <row r="22" spans="1:5" x14ac:dyDescent="0.25">
      <c r="A22" s="9" t="s">
        <v>350</v>
      </c>
      <c r="B22" s="51">
        <f>(B17-DCF!F7*Inputs!C30)*(1-Inputs!C31)+DCF!F7*Inputs!C30-DCF!F7*Inputs!C32-(DCF!F7-DCF!C7)*Inputs!C33</f>
        <v>14.056073946720002</v>
      </c>
      <c r="C22" s="51">
        <f>(C17-DCF!F7*Inputs!C30)*(1-Inputs!C31)+DCF!F7*Inputs!C30-DCF!F7*Inputs!C32-(DCF!F7-DCF!C7)*Inputs!C33</f>
        <v>14.845599396575999</v>
      </c>
      <c r="D22" s="51">
        <f>(D17-DCF!F7*Inputs!C30)*(1-Inputs!C31)+DCF!F7*Inputs!C30-DCF!F7*Inputs!C32-(DCF!F7-DCF!C7)*Inputs!C33</f>
        <v>13.134960921887998</v>
      </c>
    </row>
    <row r="23" spans="1:5" x14ac:dyDescent="0.25">
      <c r="A23" s="9" t="s">
        <v>351</v>
      </c>
      <c r="B23" s="51">
        <f>(B18-DCF!I7*Inputs!C30)*(1-Inputs!C31)+DCF!I7*Inputs!C30-DCF!I7*Inputs!C32-(DCF!I7-DCF!F7)*Inputs!C33</f>
        <v>17.470902565022399</v>
      </c>
      <c r="C23" s="51">
        <f>(C18-DCF!I7*Inputs!C30)*(1-Inputs!C31)+DCF!I7*Inputs!C30-DCF!I7*Inputs!C32-(DCF!I7-DCF!F7)*Inputs!C33</f>
        <v>18.363066323359675</v>
      </c>
      <c r="D23" s="51">
        <f>(D18-DCF!I7*Inputs!C30)*(1-Inputs!C31)+DCF!I7*Inputs!C30-DCF!I7*Inputs!C32-(DCF!I7-DCF!F7)*Inputs!C33</f>
        <v>16.578738806685116</v>
      </c>
    </row>
    <row r="24" spans="1:5" x14ac:dyDescent="0.25">
      <c r="A24" s="9" t="s">
        <v>352</v>
      </c>
      <c r="B24" s="51">
        <f>(B19-DCF!L7*Inputs!C30)*(1-Inputs!C31)+DCF!L7*Inputs!C30-DCF!L7*Inputs!C32-(DCF!L7-DCF!I7)*Inputs!C33</f>
        <v>21.158894119298825</v>
      </c>
      <c r="C24" s="51">
        <f>(C19-DCF!L7*Inputs!C30)*(1-Inputs!C31)+DCF!L7*Inputs!C30-DCF!L7*Inputs!C32-(DCF!L7-DCF!I7)*Inputs!C33</f>
        <v>21.819095300468415</v>
      </c>
      <c r="D24" s="51">
        <f>(D19-DCF!L7*Inputs!C30)*(1-Inputs!C31)+DCF!L7*Inputs!C30-DCF!L7*Inputs!C32-(DCF!L7-DCF!I7)*Inputs!C33</f>
        <v>20.581218085775436</v>
      </c>
    </row>
    <row r="25" spans="1:5" x14ac:dyDescent="0.25">
      <c r="A25" s="9" t="s">
        <v>353</v>
      </c>
      <c r="B25" s="51">
        <f>(B20-DCF!O7*Inputs!C30)*(1-Inputs!C31)+DCF!O7*Inputs!C30-DCF!O7*Inputs!C32-(DCF!O7-DCF!L7)*Inputs!C33</f>
        <v>24.992971739418845</v>
      </c>
      <c r="C25" s="51">
        <f>(C20-DCF!O7*Inputs!C30)*(1-Inputs!C31)+DCF!O7*Inputs!C30-DCF!O7*Inputs!C32-(DCF!O7-DCF!L7)*Inputs!C33</f>
        <v>24.992971739418845</v>
      </c>
      <c r="D25" s="51">
        <f>(D20-DCF!O7*Inputs!C30)*(1-Inputs!C31)+DCF!O7*Inputs!C30-DCF!O7*Inputs!C32-(DCF!O7-DCF!L7)*Inputs!C33</f>
        <v>24.992971739418845</v>
      </c>
    </row>
    <row r="27" spans="1:5" x14ac:dyDescent="0.25">
      <c r="A27" s="196" t="s">
        <v>354</v>
      </c>
      <c r="B27" s="185"/>
      <c r="C27" s="185"/>
      <c r="D27" s="185"/>
      <c r="E27" s="185"/>
    </row>
    <row r="28" spans="1:5" x14ac:dyDescent="0.25">
      <c r="A28" s="9" t="s">
        <v>355</v>
      </c>
      <c r="B28" s="51">
        <f>B21/(1+Inputs!C37)^0.5</f>
        <v>10.515509895974038</v>
      </c>
      <c r="C28" s="51">
        <f>C21/(1+Inputs!C37)^0.5</f>
        <v>11.062248812493767</v>
      </c>
      <c r="D28" s="51">
        <f>D21/(1+Inputs!C37)^0.5</f>
        <v>9.9687709794543089</v>
      </c>
    </row>
    <row r="29" spans="1:5" x14ac:dyDescent="0.25">
      <c r="A29" s="9" t="s">
        <v>356</v>
      </c>
      <c r="B29" s="51">
        <f>B22/(1+Inputs!C37)^1.5</f>
        <v>12.26712680196945</v>
      </c>
      <c r="C29" s="51">
        <f>C22/(1+Inputs!C37)^1.5</f>
        <v>12.956167628268286</v>
      </c>
      <c r="D29" s="51">
        <f>D22/(1+Inputs!C37)^1.5</f>
        <v>11.463245837954135</v>
      </c>
    </row>
    <row r="30" spans="1:5" x14ac:dyDescent="0.25">
      <c r="A30" s="9" t="s">
        <v>357</v>
      </c>
      <c r="B30" s="51">
        <f>B23/(1+Inputs!C37)^2.5</f>
        <v>13.924513922067659</v>
      </c>
      <c r="C30" s="51">
        <f>C23/(1+Inputs!C37)^2.5</f>
        <v>14.635578884366913</v>
      </c>
      <c r="D30" s="51">
        <f>D23/(1+Inputs!C37)^2.5</f>
        <v>13.2134489597684</v>
      </c>
    </row>
    <row r="31" spans="1:5" x14ac:dyDescent="0.25">
      <c r="A31" s="9" t="s">
        <v>358</v>
      </c>
      <c r="B31" s="51">
        <f>B24/(1+Inputs!C37)^3.5</f>
        <v>15.400809475643698</v>
      </c>
      <c r="C31" s="51">
        <f>C24/(1+Inputs!C37)^3.5</f>
        <v>15.881346527791143</v>
      </c>
      <c r="D31" s="51">
        <f>D24/(1+Inputs!C37)^3.5</f>
        <v>14.980339555014684</v>
      </c>
    </row>
    <row r="32" spans="1:5" x14ac:dyDescent="0.25">
      <c r="A32" s="9" t="s">
        <v>359</v>
      </c>
      <c r="B32" s="51">
        <f>B25/(1+Inputs!C37)^4.5</f>
        <v>16.613240870442787</v>
      </c>
      <c r="C32" s="51">
        <f>C25/(1+Inputs!C37)^4.5</f>
        <v>16.613240870442787</v>
      </c>
      <c r="D32" s="51">
        <f>D25/(1+Inputs!C37)^4.5</f>
        <v>16.613240870442787</v>
      </c>
    </row>
    <row r="33" spans="1:4" x14ac:dyDescent="0.25">
      <c r="A33" s="7" t="s">
        <v>360</v>
      </c>
      <c r="B33" s="51">
        <f>SUM(B28:B32)</f>
        <v>68.721200966097626</v>
      </c>
      <c r="C33" s="51">
        <f>SUM(C28:C32)</f>
        <v>71.148582723362892</v>
      </c>
      <c r="D33" s="51">
        <f>SUM(D28:D32)</f>
        <v>66.239046202634313</v>
      </c>
    </row>
    <row r="34" spans="1:4" x14ac:dyDescent="0.25">
      <c r="A34" s="9" t="s">
        <v>361</v>
      </c>
      <c r="B34" s="51">
        <f>B25*(1+Inputs!C38)/(Inputs!C37-Inputs!C38)/(1+Inputs!C37)^5</f>
        <v>232.47332519498192</v>
      </c>
      <c r="C34" s="51">
        <f>C25*(1+Inputs!C38)/(Inputs!C37-Inputs!C38)/(1+Inputs!C37)^5</f>
        <v>232.47332519498192</v>
      </c>
      <c r="D34" s="51">
        <f>D25*(1+Inputs!C38)/(Inputs!C37-Inputs!C38)/(1+Inputs!C37)^5</f>
        <v>232.47332519498192</v>
      </c>
    </row>
    <row r="35" spans="1:4" x14ac:dyDescent="0.25">
      <c r="A35" s="7" t="s">
        <v>362</v>
      </c>
      <c r="B35" s="52">
        <f>B33+B34</f>
        <v>301.19452616107958</v>
      </c>
      <c r="C35" s="52">
        <f>C33+C34</f>
        <v>303.62190791834485</v>
      </c>
      <c r="D35" s="52">
        <f>D33+D34</f>
        <v>298.71237139761627</v>
      </c>
    </row>
    <row r="36" spans="1:4" x14ac:dyDescent="0.25">
      <c r="A36" s="9" t="s">
        <v>363</v>
      </c>
      <c r="B36" s="51">
        <f>B35-B35</f>
        <v>0</v>
      </c>
      <c r="C36" s="51">
        <f>C35-B35</f>
        <v>2.4273817572652661</v>
      </c>
      <c r="D36" s="51">
        <f>D35-B35</f>
        <v>-2.4821547634633134</v>
      </c>
    </row>
    <row r="37" spans="1:4" x14ac:dyDescent="0.25">
      <c r="A37" s="9" t="s">
        <v>364</v>
      </c>
      <c r="B37" s="36">
        <f>0</f>
        <v>0</v>
      </c>
      <c r="C37" s="36">
        <f>IF(B35=0,0,(C35-B35)/B35)</f>
        <v>8.0591828417462541E-3</v>
      </c>
      <c r="D37" s="36">
        <f>IF(B35=0,0,(D35-B35)/B35)</f>
        <v>-8.2410354367989103E-3</v>
      </c>
    </row>
    <row r="39" spans="1:4" x14ac:dyDescent="0.25">
      <c r="A39" s="64" t="s">
        <v>365</v>
      </c>
    </row>
  </sheetData>
  <mergeCells count="4">
    <mergeCell ref="A15:E15"/>
    <mergeCell ref="A1:E1"/>
    <mergeCell ref="A27:E27"/>
    <mergeCell ref="A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10" customWidth="1"/>
    <col min="3" max="3" width="22" customWidth="1"/>
    <col min="4" max="4" width="14" customWidth="1"/>
    <col min="5" max="6" width="16" customWidth="1"/>
    <col min="7" max="7" width="14" customWidth="1"/>
    <col min="8" max="8" width="16" customWidth="1"/>
    <col min="9" max="9" width="40" customWidth="1"/>
  </cols>
  <sheetData>
    <row r="1" spans="1:9" ht="21.75" customHeight="1" x14ac:dyDescent="0.25">
      <c r="A1" s="197" t="s">
        <v>366</v>
      </c>
      <c r="B1" s="185"/>
      <c r="C1" s="185"/>
      <c r="D1" s="185"/>
      <c r="E1" s="185"/>
      <c r="F1" s="185"/>
      <c r="G1" s="185"/>
      <c r="H1" s="185"/>
      <c r="I1" s="185"/>
    </row>
    <row r="2" spans="1:9" x14ac:dyDescent="0.25">
      <c r="A2" s="155" t="s">
        <v>367</v>
      </c>
    </row>
    <row r="4" spans="1:9" ht="15.75" customHeight="1" x14ac:dyDescent="0.25">
      <c r="A4" s="156" t="s">
        <v>368</v>
      </c>
      <c r="B4" s="156" t="s">
        <v>369</v>
      </c>
      <c r="C4" s="156" t="s">
        <v>370</v>
      </c>
      <c r="D4" s="156" t="s">
        <v>371</v>
      </c>
      <c r="E4" s="156" t="s">
        <v>372</v>
      </c>
      <c r="F4" s="156" t="s">
        <v>373</v>
      </c>
      <c r="G4" s="156" t="s">
        <v>374</v>
      </c>
      <c r="H4" s="156" t="s">
        <v>375</v>
      </c>
      <c r="I4" s="156" t="s">
        <v>376</v>
      </c>
    </row>
    <row r="5" spans="1:9" ht="26.45" customHeight="1" x14ac:dyDescent="0.25">
      <c r="A5" s="157" t="s">
        <v>377</v>
      </c>
      <c r="B5" s="157" t="s">
        <v>378</v>
      </c>
      <c r="C5" s="158">
        <v>28.75</v>
      </c>
      <c r="D5" s="159">
        <v>1635</v>
      </c>
      <c r="E5" s="160">
        <v>671.4</v>
      </c>
      <c r="F5" s="160">
        <v>162.80000000000001</v>
      </c>
      <c r="G5" s="161">
        <f>D5/E5</f>
        <v>2.4352100089365507</v>
      </c>
      <c r="H5" s="162">
        <f>D5/F5</f>
        <v>10.042997542997542</v>
      </c>
      <c r="I5" s="163" t="s">
        <v>379</v>
      </c>
    </row>
    <row r="6" spans="1:9" ht="26.45" customHeight="1" x14ac:dyDescent="0.25">
      <c r="A6" s="164" t="s">
        <v>380</v>
      </c>
      <c r="B6" s="164" t="s">
        <v>381</v>
      </c>
      <c r="C6" s="165">
        <v>42.72</v>
      </c>
      <c r="D6" s="166">
        <v>3428</v>
      </c>
      <c r="E6" s="167">
        <v>1441.7</v>
      </c>
      <c r="F6" s="167">
        <v>267.89999999999998</v>
      </c>
      <c r="G6" s="168">
        <f>D6/E6</f>
        <v>2.3777484913643616</v>
      </c>
      <c r="H6" s="169">
        <f>D6/F6</f>
        <v>12.795819335572975</v>
      </c>
      <c r="I6" s="170" t="s">
        <v>382</v>
      </c>
    </row>
    <row r="7" spans="1:9" ht="26.45" customHeight="1" x14ac:dyDescent="0.25">
      <c r="A7" s="157" t="s">
        <v>383</v>
      </c>
      <c r="B7" s="157" t="s">
        <v>384</v>
      </c>
      <c r="C7" s="158">
        <v>17.48</v>
      </c>
      <c r="D7" s="159">
        <v>1829</v>
      </c>
      <c r="E7" s="160">
        <v>563.70000000000005</v>
      </c>
      <c r="F7" s="160">
        <v>147.5</v>
      </c>
      <c r="G7" s="161">
        <f>D7/E7</f>
        <v>3.2446336703920524</v>
      </c>
      <c r="H7" s="162">
        <f>D7/F7</f>
        <v>12.4</v>
      </c>
      <c r="I7" s="163" t="s">
        <v>385</v>
      </c>
    </row>
    <row r="8" spans="1:9" ht="26.45" customHeight="1" x14ac:dyDescent="0.25">
      <c r="A8" s="164" t="s">
        <v>386</v>
      </c>
      <c r="B8" s="164" t="s">
        <v>387</v>
      </c>
      <c r="C8" s="165">
        <v>53.02</v>
      </c>
      <c r="D8" s="166">
        <v>2538</v>
      </c>
      <c r="E8" s="167">
        <v>909.5</v>
      </c>
      <c r="F8" s="167">
        <v>147.80000000000001</v>
      </c>
      <c r="G8" s="168">
        <f>D8/E8</f>
        <v>2.7905442550852118</v>
      </c>
      <c r="H8" s="169">
        <f>D8/F8</f>
        <v>17.171853856562922</v>
      </c>
      <c r="I8" s="170" t="s">
        <v>388</v>
      </c>
    </row>
    <row r="9" spans="1:9" ht="26.45" customHeight="1" x14ac:dyDescent="0.25">
      <c r="A9" s="157" t="s">
        <v>389</v>
      </c>
      <c r="B9" s="157" t="s">
        <v>390</v>
      </c>
      <c r="C9" s="65"/>
      <c r="D9" s="159">
        <v>1576</v>
      </c>
      <c r="E9" s="160">
        <v>205.3</v>
      </c>
      <c r="F9" s="66"/>
      <c r="G9" s="161">
        <f>D9/E9</f>
        <v>7.6765708718947874</v>
      </c>
      <c r="H9" s="67"/>
      <c r="I9" s="163" t="s">
        <v>391</v>
      </c>
    </row>
    <row r="11" spans="1:9" x14ac:dyDescent="0.25">
      <c r="A11" s="198" t="s">
        <v>392</v>
      </c>
      <c r="B11" s="185"/>
      <c r="C11" s="185"/>
      <c r="D11" s="185"/>
      <c r="E11" s="185"/>
      <c r="F11" s="185"/>
      <c r="G11" s="185"/>
      <c r="H11" s="185"/>
      <c r="I11" s="185"/>
    </row>
    <row r="12" spans="1:9" x14ac:dyDescent="0.25">
      <c r="A12" s="171" t="s">
        <v>393</v>
      </c>
      <c r="G12" s="172">
        <f>MEDIAN(G5:G8)</f>
        <v>2.6128771320108815</v>
      </c>
      <c r="H12" s="173">
        <f>MEDIAN(H5:H8)</f>
        <v>12.597909667786489</v>
      </c>
    </row>
    <row r="13" spans="1:9" x14ac:dyDescent="0.25">
      <c r="A13" s="171" t="s">
        <v>394</v>
      </c>
      <c r="G13" s="172">
        <f>MIN(G5:G8)</f>
        <v>2.3777484913643616</v>
      </c>
      <c r="H13" s="173">
        <f>MIN(H5:H8)</f>
        <v>10.042997542997542</v>
      </c>
    </row>
    <row r="14" spans="1:9" x14ac:dyDescent="0.25">
      <c r="A14" s="171" t="s">
        <v>395</v>
      </c>
      <c r="G14" s="172">
        <f>MAX(G5:G8)</f>
        <v>3.2446336703920524</v>
      </c>
      <c r="H14" s="173">
        <f>MAX(H5:H8)</f>
        <v>17.171853856562922</v>
      </c>
    </row>
    <row r="16" spans="1:9" x14ac:dyDescent="0.25">
      <c r="A16" s="198" t="s">
        <v>396</v>
      </c>
      <c r="B16" s="185"/>
      <c r="C16" s="185"/>
      <c r="D16" s="185"/>
      <c r="E16" s="185"/>
      <c r="F16" s="185"/>
      <c r="G16" s="185"/>
      <c r="H16" s="185"/>
      <c r="I16" s="185"/>
    </row>
    <row r="17" spans="1:9" x14ac:dyDescent="0.25">
      <c r="A17" s="171" t="s">
        <v>397</v>
      </c>
      <c r="E17" s="174">
        <f>DCF!C7</f>
        <v>71.856719999999996</v>
      </c>
    </row>
    <row r="18" spans="1:9" x14ac:dyDescent="0.25">
      <c r="A18" s="171" t="s">
        <v>398</v>
      </c>
      <c r="F18" s="174">
        <f>DCF!C12</f>
        <v>17.126254079999999</v>
      </c>
    </row>
    <row r="20" spans="1:9" x14ac:dyDescent="0.25">
      <c r="A20" s="175" t="s">
        <v>399</v>
      </c>
      <c r="E20" s="176" t="s">
        <v>400</v>
      </c>
      <c r="F20" s="176" t="s">
        <v>401</v>
      </c>
      <c r="G20" s="176" t="s">
        <v>402</v>
      </c>
    </row>
    <row r="21" spans="1:9" x14ac:dyDescent="0.25">
      <c r="A21" s="171" t="s">
        <v>403</v>
      </c>
      <c r="E21" s="172">
        <f>G13</f>
        <v>2.3777484913643616</v>
      </c>
      <c r="F21" s="172">
        <f>G12</f>
        <v>2.6128771320108815</v>
      </c>
      <c r="G21" s="172">
        <f>G14</f>
        <v>3.2446336703920524</v>
      </c>
    </row>
    <row r="22" spans="1:9" x14ac:dyDescent="0.25">
      <c r="A22" s="171" t="s">
        <v>404</v>
      </c>
      <c r="E22" s="177">
        <f>E21*$E$17</f>
        <v>170.85720757439134</v>
      </c>
      <c r="F22" s="177">
        <f>F21*$E$17</f>
        <v>187.75278046930893</v>
      </c>
      <c r="G22" s="177">
        <f>G21*$E$17</f>
        <v>233.148733155934</v>
      </c>
    </row>
    <row r="23" spans="1:9" x14ac:dyDescent="0.25">
      <c r="A23" s="171" t="s">
        <v>405</v>
      </c>
      <c r="E23" s="173">
        <f>H13</f>
        <v>10.042997542997542</v>
      </c>
      <c r="F23" s="173">
        <f>H12</f>
        <v>12.597909667786489</v>
      </c>
      <c r="G23" s="173">
        <f>H14</f>
        <v>17.171853856562922</v>
      </c>
    </row>
    <row r="24" spans="1:9" x14ac:dyDescent="0.25">
      <c r="A24" s="171" t="s">
        <v>406</v>
      </c>
      <c r="E24" s="177">
        <f>E23*$F$18</f>
        <v>171.99892764619162</v>
      </c>
      <c r="F24" s="177">
        <f>F23*$F$18</f>
        <v>215.7550018473998</v>
      </c>
      <c r="G24" s="177">
        <f>G23*$F$18</f>
        <v>294.08953217212445</v>
      </c>
    </row>
    <row r="26" spans="1:9" ht="26.45" customHeight="1" x14ac:dyDescent="0.25">
      <c r="A26" s="175" t="s">
        <v>407</v>
      </c>
      <c r="E26" s="178">
        <f>ROUND(AVERAGE(E22,E24),0)</f>
        <v>171</v>
      </c>
      <c r="F26" s="178">
        <f>ROUND(AVERAGE(F22,F24),0)</f>
        <v>202</v>
      </c>
      <c r="G26" s="178">
        <f>ROUND(AVERAGE(G22,G24),0)</f>
        <v>264</v>
      </c>
      <c r="I26" s="179" t="s">
        <v>408</v>
      </c>
    </row>
    <row r="28" spans="1:9" x14ac:dyDescent="0.25">
      <c r="A28" s="155" t="s">
        <v>409</v>
      </c>
    </row>
  </sheetData>
  <mergeCells count="3">
    <mergeCell ref="A1:I1"/>
    <mergeCell ref="A11:I11"/>
    <mergeCell ref="A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8" customWidth="1"/>
    <col min="3" max="3" width="20" customWidth="1"/>
    <col min="4" max="4" width="24" customWidth="1"/>
    <col min="5" max="9" width="14" customWidth="1"/>
    <col min="10" max="10" width="50" customWidth="1"/>
  </cols>
  <sheetData>
    <row r="1" spans="1:10" ht="21.75" customHeight="1" x14ac:dyDescent="0.25">
      <c r="A1" s="189" t="s">
        <v>410</v>
      </c>
      <c r="B1" s="185"/>
      <c r="C1" s="185"/>
      <c r="D1" s="185"/>
      <c r="E1" s="185"/>
      <c r="F1" s="185"/>
      <c r="G1" s="185"/>
      <c r="H1" s="185"/>
      <c r="I1" s="185"/>
      <c r="J1" s="185"/>
    </row>
    <row r="2" spans="1:10" x14ac:dyDescent="0.25">
      <c r="A2" s="73" t="s">
        <v>411</v>
      </c>
    </row>
    <row r="4" spans="1:10" ht="15.75" customHeight="1" x14ac:dyDescent="0.25">
      <c r="A4" s="2" t="s">
        <v>412</v>
      </c>
      <c r="B4" s="2" t="s">
        <v>413</v>
      </c>
      <c r="C4" s="2" t="s">
        <v>414</v>
      </c>
      <c r="D4" s="2" t="s">
        <v>415</v>
      </c>
      <c r="E4" s="2" t="s">
        <v>371</v>
      </c>
      <c r="F4" s="2" t="s">
        <v>416</v>
      </c>
      <c r="G4" s="2" t="s">
        <v>417</v>
      </c>
      <c r="H4" s="2" t="s">
        <v>418</v>
      </c>
      <c r="I4" s="2" t="s">
        <v>419</v>
      </c>
      <c r="J4" s="2" t="s">
        <v>28</v>
      </c>
    </row>
    <row r="5" spans="1:10" ht="26.45" customHeight="1" x14ac:dyDescent="0.25">
      <c r="A5" s="71" t="s">
        <v>420</v>
      </c>
      <c r="B5" s="74">
        <v>2024</v>
      </c>
      <c r="C5" s="65" t="s">
        <v>421</v>
      </c>
      <c r="D5" s="65" t="s">
        <v>422</v>
      </c>
      <c r="E5" s="66">
        <v>1576</v>
      </c>
      <c r="F5" s="66">
        <v>205.3</v>
      </c>
      <c r="G5" s="66"/>
      <c r="H5" s="67">
        <f>E5/F5</f>
        <v>7.6765708718947874</v>
      </c>
      <c r="I5" s="67" t="s">
        <v>423</v>
      </c>
      <c r="J5" s="68" t="s">
        <v>424</v>
      </c>
    </row>
    <row r="6" spans="1:10" ht="26.45" customHeight="1" x14ac:dyDescent="0.25">
      <c r="A6" s="22" t="s">
        <v>425</v>
      </c>
      <c r="B6" s="75">
        <v>2023</v>
      </c>
      <c r="C6" s="29" t="s">
        <v>426</v>
      </c>
      <c r="D6" s="29" t="s">
        <v>427</v>
      </c>
      <c r="E6" s="69">
        <v>7273</v>
      </c>
      <c r="F6" s="69">
        <v>726</v>
      </c>
      <c r="G6" s="69">
        <v>45</v>
      </c>
      <c r="H6" s="70">
        <f>E6/F6</f>
        <v>10.017906336088155</v>
      </c>
      <c r="I6" s="70">
        <f>E6/G6</f>
        <v>161.62222222222223</v>
      </c>
      <c r="J6" s="24" t="s">
        <v>428</v>
      </c>
    </row>
    <row r="7" spans="1:10" ht="25.5" customHeight="1" x14ac:dyDescent="0.25">
      <c r="A7" s="71" t="s">
        <v>429</v>
      </c>
      <c r="B7" s="74">
        <v>2022</v>
      </c>
      <c r="C7" s="65" t="s">
        <v>430</v>
      </c>
      <c r="D7" s="65" t="s">
        <v>431</v>
      </c>
      <c r="E7" s="66">
        <v>1591</v>
      </c>
      <c r="F7" s="66">
        <v>195</v>
      </c>
      <c r="G7" s="66">
        <v>20</v>
      </c>
      <c r="H7" s="67">
        <f>E7/F7</f>
        <v>8.1589743589743584</v>
      </c>
      <c r="I7" s="67">
        <f>E7/G7</f>
        <v>79.55</v>
      </c>
      <c r="J7" s="68" t="s">
        <v>432</v>
      </c>
    </row>
    <row r="8" spans="1:10" x14ac:dyDescent="0.25">
      <c r="A8" s="22" t="s">
        <v>433</v>
      </c>
      <c r="B8" s="75">
        <v>2024</v>
      </c>
      <c r="C8" s="29" t="s">
        <v>434</v>
      </c>
      <c r="D8" s="29" t="s">
        <v>435</v>
      </c>
      <c r="E8" s="69">
        <v>600</v>
      </c>
      <c r="F8" s="69">
        <v>90</v>
      </c>
      <c r="G8" s="69">
        <v>18</v>
      </c>
      <c r="H8" s="70">
        <f>E8/F8</f>
        <v>6.666666666666667</v>
      </c>
      <c r="I8" s="70">
        <f>E8/G8</f>
        <v>33.333333333333336</v>
      </c>
      <c r="J8" s="24" t="s">
        <v>436</v>
      </c>
    </row>
    <row r="9" spans="1:10" ht="26.45" customHeight="1" x14ac:dyDescent="0.25">
      <c r="A9" s="71" t="s">
        <v>437</v>
      </c>
      <c r="B9" s="74">
        <v>2022</v>
      </c>
      <c r="C9" s="65" t="s">
        <v>426</v>
      </c>
      <c r="D9" s="65" t="s">
        <v>438</v>
      </c>
      <c r="E9" s="66">
        <v>2364</v>
      </c>
      <c r="F9" s="66">
        <v>480</v>
      </c>
      <c r="G9" s="66">
        <v>100</v>
      </c>
      <c r="H9" s="67">
        <f>E9/F9</f>
        <v>4.9249999999999998</v>
      </c>
      <c r="I9" s="67">
        <f>E9/G9</f>
        <v>23.64</v>
      </c>
      <c r="J9" s="68" t="s">
        <v>439</v>
      </c>
    </row>
    <row r="11" spans="1:10" x14ac:dyDescent="0.25">
      <c r="A11" s="196" t="s">
        <v>440</v>
      </c>
      <c r="B11" s="185"/>
      <c r="C11" s="185"/>
      <c r="D11" s="185"/>
      <c r="E11" s="185"/>
      <c r="F11" s="185"/>
      <c r="G11" s="185"/>
      <c r="H11" s="185"/>
      <c r="I11" s="185"/>
    </row>
    <row r="12" spans="1:10" x14ac:dyDescent="0.25">
      <c r="A12" s="7" t="s">
        <v>441</v>
      </c>
      <c r="H12" s="42">
        <f>MEDIAN(H5:H9)</f>
        <v>7.6765708718947874</v>
      </c>
      <c r="I12" s="42">
        <f>MEDIAN(I7,I8,I9)</f>
        <v>33.333333333333336</v>
      </c>
      <c r="J12" t="s">
        <v>442</v>
      </c>
    </row>
    <row r="13" spans="1:10" x14ac:dyDescent="0.25">
      <c r="A13" s="7" t="s">
        <v>394</v>
      </c>
      <c r="H13" s="42">
        <f>MIN(H5:H9)</f>
        <v>4.9249999999999998</v>
      </c>
      <c r="I13" s="42">
        <f>MIN(I7,I8,I9)</f>
        <v>23.64</v>
      </c>
    </row>
    <row r="14" spans="1:10" x14ac:dyDescent="0.25">
      <c r="A14" s="7" t="s">
        <v>395</v>
      </c>
      <c r="H14" s="42">
        <f>MAX(H5:H9)</f>
        <v>10.017906336088155</v>
      </c>
      <c r="I14" s="42">
        <f>MAX(I7,I8,I9)</f>
        <v>79.55</v>
      </c>
    </row>
    <row r="16" spans="1:10" x14ac:dyDescent="0.25">
      <c r="A16" s="196" t="s">
        <v>443</v>
      </c>
      <c r="B16" s="185"/>
      <c r="C16" s="185"/>
      <c r="D16" s="185"/>
      <c r="E16" s="185"/>
      <c r="F16" s="185"/>
      <c r="G16" s="185"/>
      <c r="H16" s="185"/>
      <c r="I16" s="185"/>
      <c r="J16" s="185"/>
    </row>
    <row r="17" spans="1:10" x14ac:dyDescent="0.25">
      <c r="A17" s="76" t="s">
        <v>444</v>
      </c>
    </row>
    <row r="19" spans="1:10" x14ac:dyDescent="0.25">
      <c r="A19" s="9" t="s">
        <v>445</v>
      </c>
      <c r="F19" s="72">
        <f>Inputs!B6</f>
        <v>61.415999999999997</v>
      </c>
    </row>
    <row r="20" spans="1:10" x14ac:dyDescent="0.25">
      <c r="A20" s="9" t="s">
        <v>446</v>
      </c>
      <c r="F20" s="72">
        <f>DCF!C7</f>
        <v>71.856719999999996</v>
      </c>
    </row>
    <row r="21" spans="1:10" x14ac:dyDescent="0.25">
      <c r="A21" s="9" t="s">
        <v>447</v>
      </c>
      <c r="G21" s="72">
        <f>Inputs!B7</f>
        <v>13.384</v>
      </c>
    </row>
    <row r="23" spans="1:10" x14ac:dyDescent="0.25">
      <c r="A23" s="7" t="s">
        <v>448</v>
      </c>
      <c r="E23" s="18" t="s">
        <v>59</v>
      </c>
      <c r="F23" s="18" t="s">
        <v>449</v>
      </c>
      <c r="G23" s="18" t="s">
        <v>61</v>
      </c>
    </row>
    <row r="24" spans="1:10" ht="26.45" customHeight="1" x14ac:dyDescent="0.25">
      <c r="A24" s="9" t="s">
        <v>450</v>
      </c>
      <c r="E24" s="41">
        <v>4.7</v>
      </c>
      <c r="F24" s="41">
        <v>6.7</v>
      </c>
      <c r="G24" s="41">
        <v>8.9</v>
      </c>
      <c r="J24" s="28" t="s">
        <v>451</v>
      </c>
    </row>
    <row r="25" spans="1:10" x14ac:dyDescent="0.25">
      <c r="A25" s="9" t="s">
        <v>452</v>
      </c>
      <c r="E25" s="51">
        <f>F19*E24</f>
        <v>288.65519999999998</v>
      </c>
      <c r="F25" s="51">
        <f>F19*F24</f>
        <v>411.48719999999997</v>
      </c>
      <c r="G25" s="51">
        <f>F19*G24</f>
        <v>546.60239999999999</v>
      </c>
    </row>
    <row r="27" spans="1:10" ht="26.45" customHeight="1" x14ac:dyDescent="0.25">
      <c r="A27" s="7" t="s">
        <v>453</v>
      </c>
      <c r="E27" s="52">
        <f>ROUND(E25,0)</f>
        <v>289</v>
      </c>
      <c r="F27" s="52">
        <f>ROUND(F25,0)</f>
        <v>411</v>
      </c>
      <c r="G27" s="52">
        <f>ROUND(G25,0)</f>
        <v>547</v>
      </c>
      <c r="J27" s="28" t="s">
        <v>454</v>
      </c>
    </row>
    <row r="29" spans="1:10" x14ac:dyDescent="0.25">
      <c r="A29" s="77" t="s">
        <v>455</v>
      </c>
    </row>
  </sheetData>
  <mergeCells count="3">
    <mergeCell ref="A1:J1"/>
    <mergeCell ref="A11:I11"/>
    <mergeCell ref="A16:J1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I35"/>
  <sheetViews>
    <sheetView tabSelected="1" zoomScaleNormal="100" workbookViewId="0">
      <pane ySplit="3" topLeftCell="A4" activePane="bottomLeft" state="frozen"/>
      <selection pane="bottomLeft" sqref="A1:I1"/>
    </sheetView>
  </sheetViews>
  <sheetFormatPr defaultColWidth="8.7109375" defaultRowHeight="15" x14ac:dyDescent="0.25"/>
  <cols>
    <col min="1" max="1" width="42" customWidth="1"/>
    <col min="2" max="2" width="16" customWidth="1"/>
    <col min="3" max="8" width="13" customWidth="1"/>
    <col min="9" max="9" width="45" customWidth="1"/>
  </cols>
  <sheetData>
    <row r="1" spans="1:9" ht="21.75" customHeight="1" x14ac:dyDescent="0.25">
      <c r="A1" s="186" t="s">
        <v>0</v>
      </c>
      <c r="B1" s="185"/>
      <c r="C1" s="185"/>
      <c r="D1" s="185"/>
      <c r="E1" s="185"/>
      <c r="F1" s="185"/>
      <c r="G1" s="185"/>
      <c r="H1" s="185"/>
      <c r="I1" s="185"/>
    </row>
    <row r="2" spans="1:9" x14ac:dyDescent="0.25">
      <c r="A2" s="183" t="s">
        <v>1</v>
      </c>
    </row>
    <row r="4" spans="1:9" x14ac:dyDescent="0.25">
      <c r="A4" s="184" t="s">
        <v>2</v>
      </c>
      <c r="B4" s="185"/>
    </row>
    <row r="5" spans="1:9" x14ac:dyDescent="0.25">
      <c r="A5" s="9" t="s">
        <v>3</v>
      </c>
      <c r="B5" s="78">
        <f>Inputs!B42</f>
        <v>0.35</v>
      </c>
      <c r="I5" s="28" t="s">
        <v>4</v>
      </c>
    </row>
    <row r="6" spans="1:9" x14ac:dyDescent="0.25">
      <c r="A6" s="9" t="s">
        <v>5</v>
      </c>
      <c r="B6" s="79">
        <f>Inputs!B43</f>
        <v>15</v>
      </c>
    </row>
    <row r="7" spans="1:9" x14ac:dyDescent="0.25">
      <c r="A7" s="9" t="s">
        <v>6</v>
      </c>
      <c r="B7" s="80">
        <v>5</v>
      </c>
    </row>
    <row r="8" spans="1:9" x14ac:dyDescent="0.25">
      <c r="A8" s="9" t="s">
        <v>7</v>
      </c>
      <c r="B8" s="78">
        <f>Inputs!C37</f>
        <v>9.5000000000000001E-2</v>
      </c>
    </row>
    <row r="10" spans="1:9" x14ac:dyDescent="0.25">
      <c r="A10" s="184" t="s">
        <v>8</v>
      </c>
      <c r="B10" s="185"/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  <c r="H10" s="3" t="s">
        <v>14</v>
      </c>
    </row>
    <row r="11" spans="1:9" x14ac:dyDescent="0.25">
      <c r="A11" s="7" t="s">
        <v>15</v>
      </c>
      <c r="C11" s="72">
        <f>DCF!C7</f>
        <v>71.856719999999996</v>
      </c>
      <c r="D11" s="72">
        <f>DCF!F7</f>
        <v>82.635227999999984</v>
      </c>
      <c r="E11" s="72">
        <f>DCF!I7</f>
        <v>93.377807639999972</v>
      </c>
      <c r="F11" s="72">
        <f>DCF!L7</f>
        <v>103.64936648039998</v>
      </c>
      <c r="G11" s="72">
        <f>DCF!O7</f>
        <v>112.97780946363598</v>
      </c>
      <c r="H11" s="51">
        <f>SUM(C11:G11)</f>
        <v>464.49693158403591</v>
      </c>
    </row>
    <row r="12" spans="1:9" x14ac:dyDescent="0.25">
      <c r="A12" s="7" t="s">
        <v>16</v>
      </c>
      <c r="C12" s="72">
        <f>DCF!C12</f>
        <v>17.126254079999999</v>
      </c>
      <c r="D12" s="72">
        <f>DCF!F12</f>
        <v>21.382212383999999</v>
      </c>
      <c r="E12" s="72">
        <f>DCF!I12</f>
        <v>26.068232810879994</v>
      </c>
      <c r="F12" s="72">
        <f>DCF!L12</f>
        <v>31.051767846902393</v>
      </c>
      <c r="G12" s="72">
        <f>DCF!O12</f>
        <v>36.152899028363514</v>
      </c>
      <c r="H12" s="51">
        <f>SUM(C12:G12)</f>
        <v>131.78136615014589</v>
      </c>
    </row>
    <row r="13" spans="1:9" x14ac:dyDescent="0.25">
      <c r="A13" s="7" t="s">
        <v>17</v>
      </c>
      <c r="C13" s="72">
        <f>DCF!C21</f>
        <v>11.003665910400001</v>
      </c>
      <c r="D13" s="72">
        <f>DCF!F21</f>
        <v>14.056073946720002</v>
      </c>
      <c r="E13" s="72">
        <f>DCF!I21</f>
        <v>17.470902565022399</v>
      </c>
      <c r="F13" s="72">
        <f>DCF!L21</f>
        <v>21.158894119298825</v>
      </c>
      <c r="G13" s="72">
        <f>DCF!O21</f>
        <v>24.992971739418845</v>
      </c>
      <c r="H13" s="51">
        <f>SUM(C13:G13)</f>
        <v>88.682508280860077</v>
      </c>
    </row>
    <row r="14" spans="1:9" x14ac:dyDescent="0.25">
      <c r="A14" s="9" t="s">
        <v>18</v>
      </c>
      <c r="C14" s="51">
        <f>C13</f>
        <v>11.003665910400001</v>
      </c>
      <c r="D14" s="51">
        <f>C14+D13</f>
        <v>25.05973985712</v>
      </c>
      <c r="E14" s="51">
        <f>D14+E13</f>
        <v>42.5306424221424</v>
      </c>
      <c r="F14" s="51">
        <f>E14+F13</f>
        <v>63.689536541441228</v>
      </c>
      <c r="G14" s="51">
        <f>F14+G13</f>
        <v>88.682508280860077</v>
      </c>
    </row>
    <row r="16" spans="1:9" x14ac:dyDescent="0.25">
      <c r="A16" s="184" t="s">
        <v>19</v>
      </c>
      <c r="B16" s="185"/>
    </row>
    <row r="17" spans="1:9" x14ac:dyDescent="0.25">
      <c r="A17" s="9" t="s">
        <v>20</v>
      </c>
      <c r="B17" s="72">
        <f>DCF!O12</f>
        <v>36.152899028363514</v>
      </c>
    </row>
    <row r="18" spans="1:9" x14ac:dyDescent="0.25">
      <c r="A18" s="9" t="s">
        <v>21</v>
      </c>
      <c r="B18" s="52">
        <f>B17*B6</f>
        <v>542.29348542545267</v>
      </c>
    </row>
    <row r="20" spans="1:9" x14ac:dyDescent="0.25">
      <c r="A20" s="4" t="s">
        <v>22</v>
      </c>
      <c r="B20" s="3" t="s">
        <v>23</v>
      </c>
      <c r="C20" s="3" t="s">
        <v>24</v>
      </c>
      <c r="D20" s="3" t="s">
        <v>25</v>
      </c>
      <c r="E20" s="3" t="s">
        <v>26</v>
      </c>
      <c r="F20" s="3" t="s">
        <v>27</v>
      </c>
      <c r="I20" s="3" t="s">
        <v>28</v>
      </c>
    </row>
    <row r="21" spans="1:9" x14ac:dyDescent="0.25">
      <c r="A21" s="9" t="s">
        <v>29</v>
      </c>
      <c r="B21" s="37">
        <v>0.18</v>
      </c>
      <c r="C21" s="51">
        <f>(B18+H13)/($B$5+(1-$B$5)*(1+B21)^5)</f>
        <v>343.4738060267473</v>
      </c>
      <c r="D21" s="51">
        <f>C21*(1-$B$5)</f>
        <v>223.25797391738575</v>
      </c>
      <c r="E21" s="51">
        <f>C21*$B$5</f>
        <v>120.21583210936154</v>
      </c>
      <c r="F21" s="42">
        <f>C21/Inputs!B7</f>
        <v>25.663015991239337</v>
      </c>
      <c r="I21" s="28" t="s">
        <v>30</v>
      </c>
    </row>
    <row r="22" spans="1:9" x14ac:dyDescent="0.25">
      <c r="A22" s="9" t="s">
        <v>31</v>
      </c>
      <c r="B22" s="37">
        <v>0.22500000000000001</v>
      </c>
      <c r="C22" s="52">
        <f>(B18+H13)/($B$5+(1-$B$5)*(1+B22)^5)</f>
        <v>294.42817105281716</v>
      </c>
      <c r="D22" s="51">
        <f>C22*(1-$B$5)</f>
        <v>191.37831118433115</v>
      </c>
      <c r="E22" s="51">
        <f>C22*$B$5</f>
        <v>103.049859868486</v>
      </c>
      <c r="F22" s="42">
        <f>C22/Inputs!B7</f>
        <v>21.998518458817777</v>
      </c>
      <c r="I22" s="28" t="s">
        <v>32</v>
      </c>
    </row>
    <row r="23" spans="1:9" x14ac:dyDescent="0.25">
      <c r="A23" s="9" t="s">
        <v>33</v>
      </c>
      <c r="B23" s="37">
        <v>0.25</v>
      </c>
      <c r="C23" s="51">
        <f>(B18+H13)/($B$5+(1-$B$5)*(1+B23)^5)</f>
        <v>270.38244828960899</v>
      </c>
      <c r="D23" s="51">
        <f>C23*(1-$B$5)</f>
        <v>175.74859138824584</v>
      </c>
      <c r="E23" s="51">
        <f>C23*$B$5</f>
        <v>94.633856901363146</v>
      </c>
      <c r="F23" s="42">
        <f>C23/Inputs!B7</f>
        <v>20.201916339630078</v>
      </c>
      <c r="I23" s="28" t="s">
        <v>34</v>
      </c>
    </row>
    <row r="24" spans="1:9" x14ac:dyDescent="0.25">
      <c r="A24" s="14" t="s">
        <v>35</v>
      </c>
    </row>
    <row r="26" spans="1:9" x14ac:dyDescent="0.25">
      <c r="A26" s="184" t="s">
        <v>36</v>
      </c>
      <c r="B26" s="185"/>
    </row>
    <row r="27" spans="1:9" x14ac:dyDescent="0.25">
      <c r="A27" s="9" t="s">
        <v>37</v>
      </c>
      <c r="B27" s="72">
        <f>DCF!R34</f>
        <v>301.19452616107958</v>
      </c>
    </row>
    <row r="28" spans="1:9" x14ac:dyDescent="0.25">
      <c r="A28" s="9" t="s">
        <v>38</v>
      </c>
      <c r="B28" s="51">
        <f>B27*(1-B5)</f>
        <v>195.77644200470172</v>
      </c>
    </row>
    <row r="29" spans="1:9" x14ac:dyDescent="0.25">
      <c r="A29" s="9" t="s">
        <v>39</v>
      </c>
      <c r="B29" s="51">
        <f>B27*B5</f>
        <v>105.41808415637784</v>
      </c>
    </row>
    <row r="30" spans="1:9" x14ac:dyDescent="0.25">
      <c r="A30" s="9" t="s">
        <v>40</v>
      </c>
      <c r="B30" s="51">
        <f>H13</f>
        <v>88.682508280860077</v>
      </c>
    </row>
    <row r="31" spans="1:9" x14ac:dyDescent="0.25">
      <c r="A31" s="9" t="s">
        <v>41</v>
      </c>
      <c r="B31" s="51">
        <f>MAX(0,B18+B30-B29)</f>
        <v>525.55790954993483</v>
      </c>
    </row>
    <row r="32" spans="1:9" x14ac:dyDescent="0.25">
      <c r="A32" s="9" t="s">
        <v>42</v>
      </c>
      <c r="B32" s="81">
        <f>IF(B28=0,0,B31/B28)</f>
        <v>2.6844798289740761</v>
      </c>
    </row>
    <row r="33" spans="1:9" ht="26.45" customHeight="1" x14ac:dyDescent="0.25">
      <c r="A33" s="7" t="s">
        <v>43</v>
      </c>
      <c r="B33" s="82">
        <f>IF(B32&lt;=0,0,(B32)^(1/5)-1)</f>
        <v>0.21834989164325158</v>
      </c>
      <c r="I33" s="28" t="s">
        <v>44</v>
      </c>
    </row>
    <row r="35" spans="1:9" ht="26.45" customHeight="1" x14ac:dyDescent="0.25">
      <c r="A35" s="7" t="s">
        <v>45</v>
      </c>
      <c r="C35" s="83">
        <v>135</v>
      </c>
      <c r="D35" s="83">
        <v>283</v>
      </c>
      <c r="E35" s="83">
        <v>455</v>
      </c>
      <c r="I35" s="28" t="s">
        <v>46</v>
      </c>
    </row>
  </sheetData>
  <mergeCells count="5">
    <mergeCell ref="A4:B4"/>
    <mergeCell ref="A26:B26"/>
    <mergeCell ref="A16:B16"/>
    <mergeCell ref="A10:B10"/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3"/>
  <sheetViews>
    <sheetView workbookViewId="0"/>
  </sheetViews>
  <sheetFormatPr defaultRowHeight="15" x14ac:dyDescent="0.25"/>
  <cols>
    <col min="1" max="1" width="46" customWidth="1"/>
    <col min="2" max="8" width="13" customWidth="1"/>
    <col min="9" max="9" width="70" customWidth="1"/>
  </cols>
  <sheetData>
    <row r="1" spans="1:9" ht="18" customHeight="1" x14ac:dyDescent="0.25">
      <c r="A1" s="117" t="s">
        <v>456</v>
      </c>
    </row>
    <row r="2" spans="1:9" x14ac:dyDescent="0.25">
      <c r="A2" s="118" t="s">
        <v>457</v>
      </c>
    </row>
    <row r="3" spans="1:9" x14ac:dyDescent="0.25">
      <c r="A3" s="118" t="s">
        <v>458</v>
      </c>
    </row>
    <row r="4" spans="1:9" x14ac:dyDescent="0.25">
      <c r="A4" s="119" t="s">
        <v>459</v>
      </c>
      <c r="B4" s="120"/>
      <c r="C4" s="120"/>
      <c r="D4" s="120"/>
      <c r="E4" s="120"/>
      <c r="F4" s="120"/>
      <c r="G4" s="120"/>
      <c r="H4" s="120"/>
      <c r="I4" s="120"/>
    </row>
    <row r="5" spans="1:9" x14ac:dyDescent="0.25">
      <c r="A5" s="121" t="s">
        <v>460</v>
      </c>
      <c r="B5" s="122"/>
      <c r="C5" s="122"/>
      <c r="D5" s="122"/>
      <c r="E5" s="122"/>
      <c r="F5" s="122"/>
      <c r="G5" s="122"/>
      <c r="H5" s="122"/>
      <c r="I5" s="122"/>
    </row>
    <row r="6" spans="1:9" x14ac:dyDescent="0.25">
      <c r="A6" s="123" t="s">
        <v>461</v>
      </c>
      <c r="B6" s="130">
        <f>B27</f>
        <v>53.536000000000001</v>
      </c>
      <c r="C6" s="136">
        <f>B26</f>
        <v>4</v>
      </c>
      <c r="D6" s="137">
        <f>B25</f>
        <v>7.1629999999999999E-2</v>
      </c>
    </row>
    <row r="7" spans="1:9" x14ac:dyDescent="0.25">
      <c r="A7" s="123" t="s">
        <v>462</v>
      </c>
      <c r="B7" s="137">
        <f>B29</f>
        <v>0.75</v>
      </c>
      <c r="C7" s="136">
        <f>B36</f>
        <v>15</v>
      </c>
      <c r="D7" s="137">
        <f>B35</f>
        <v>0.35</v>
      </c>
    </row>
    <row r="9" spans="1:9" x14ac:dyDescent="0.25">
      <c r="A9" s="121" t="s">
        <v>463</v>
      </c>
      <c r="B9" s="121" t="s">
        <v>101</v>
      </c>
      <c r="C9" s="121" t="s">
        <v>102</v>
      </c>
      <c r="D9" s="121" t="s">
        <v>103</v>
      </c>
      <c r="E9" s="122"/>
      <c r="F9" s="122"/>
      <c r="G9" s="122"/>
      <c r="H9" s="122"/>
      <c r="I9" s="122"/>
    </row>
    <row r="10" spans="1:9" x14ac:dyDescent="0.25">
      <c r="A10" s="123" t="s">
        <v>464</v>
      </c>
      <c r="B10" s="130">
        <f>B50</f>
        <v>169.7</v>
      </c>
      <c r="C10" s="130">
        <f>C50</f>
        <v>241.9</v>
      </c>
      <c r="D10" s="130">
        <f>D50</f>
        <v>297.3</v>
      </c>
    </row>
    <row r="11" spans="1:9" x14ac:dyDescent="0.25">
      <c r="A11" s="131" t="s">
        <v>465</v>
      </c>
      <c r="B11" s="138">
        <f>C112</f>
        <v>0.22509032702462251</v>
      </c>
      <c r="C11" s="138">
        <f>C150</f>
        <v>0.22503769786231054</v>
      </c>
      <c r="D11" s="138">
        <f>C188</f>
        <v>0.22495363264703361</v>
      </c>
    </row>
    <row r="12" spans="1:9" x14ac:dyDescent="0.25">
      <c r="A12" s="123" t="s">
        <v>466</v>
      </c>
      <c r="B12" s="136">
        <f>C113</f>
        <v>2.7595645295295306</v>
      </c>
      <c r="C12" s="136">
        <f>C151</f>
        <v>2.7589718340826317</v>
      </c>
      <c r="D12" s="136">
        <f>C189</f>
        <v>2.7580253255302116</v>
      </c>
    </row>
    <row r="13" spans="1:9" x14ac:dyDescent="0.25">
      <c r="A13" s="123" t="s">
        <v>467</v>
      </c>
      <c r="B13" s="139">
        <f>B68</f>
        <v>0</v>
      </c>
      <c r="C13" s="139">
        <f>C68</f>
        <v>0</v>
      </c>
      <c r="D13" s="139">
        <f>D68</f>
        <v>0</v>
      </c>
    </row>
    <row r="15" spans="1:9" x14ac:dyDescent="0.25">
      <c r="A15" s="121" t="s">
        <v>468</v>
      </c>
      <c r="B15" s="121" t="s">
        <v>469</v>
      </c>
      <c r="C15" s="121" t="s">
        <v>470</v>
      </c>
      <c r="D15" s="121" t="s">
        <v>471</v>
      </c>
      <c r="E15" s="122"/>
      <c r="F15" s="122"/>
      <c r="G15" s="122"/>
      <c r="H15" s="122"/>
      <c r="I15" s="122"/>
    </row>
    <row r="16" spans="1:9" x14ac:dyDescent="0.25">
      <c r="A16" s="123" t="s">
        <v>101</v>
      </c>
      <c r="B16" s="128">
        <v>196.5</v>
      </c>
      <c r="C16" s="128">
        <v>169.7</v>
      </c>
      <c r="D16" s="128">
        <v>157.19999999999999</v>
      </c>
      <c r="I16" s="118" t="s">
        <v>472</v>
      </c>
    </row>
    <row r="17" spans="1:9" x14ac:dyDescent="0.25">
      <c r="A17" s="123" t="s">
        <v>102</v>
      </c>
      <c r="B17" s="128">
        <v>283.5</v>
      </c>
      <c r="C17" s="140">
        <v>241.9</v>
      </c>
      <c r="D17" s="128">
        <v>222.5</v>
      </c>
      <c r="I17" s="118" t="s">
        <v>473</v>
      </c>
    </row>
    <row r="18" spans="1:9" x14ac:dyDescent="0.25">
      <c r="A18" s="123" t="s">
        <v>103</v>
      </c>
      <c r="B18" s="128">
        <v>350.2</v>
      </c>
      <c r="C18" s="128">
        <v>297.3</v>
      </c>
      <c r="D18" s="128">
        <v>272.5</v>
      </c>
    </row>
    <row r="21" spans="1:9" x14ac:dyDescent="0.25">
      <c r="A21" s="119" t="s">
        <v>474</v>
      </c>
      <c r="B21" s="120"/>
      <c r="C21" s="120"/>
      <c r="D21" s="120"/>
      <c r="E21" s="120"/>
      <c r="F21" s="120"/>
      <c r="G21" s="120"/>
      <c r="H21" s="120"/>
      <c r="I21" s="120"/>
    </row>
    <row r="22" spans="1:9" x14ac:dyDescent="0.25">
      <c r="A22" s="121" t="s">
        <v>100</v>
      </c>
      <c r="B22" s="121" t="s">
        <v>475</v>
      </c>
      <c r="C22" s="121" t="s">
        <v>476</v>
      </c>
      <c r="D22" s="122"/>
      <c r="E22" s="122"/>
      <c r="F22" s="122"/>
      <c r="G22" s="122"/>
      <c r="H22" s="122"/>
      <c r="I22" s="121" t="s">
        <v>477</v>
      </c>
    </row>
    <row r="23" spans="1:9" x14ac:dyDescent="0.25">
      <c r="A23" s="123" t="s">
        <v>478</v>
      </c>
      <c r="B23" s="124">
        <v>2.3730000000000001E-2</v>
      </c>
      <c r="C23" s="123" t="s">
        <v>479</v>
      </c>
      <c r="I23" s="118" t="s">
        <v>480</v>
      </c>
    </row>
    <row r="24" spans="1:9" x14ac:dyDescent="0.25">
      <c r="A24" s="123" t="s">
        <v>481</v>
      </c>
      <c r="B24" s="124">
        <v>4.7899999999999998E-2</v>
      </c>
      <c r="C24" s="123" t="s">
        <v>479</v>
      </c>
      <c r="I24" s="118" t="s">
        <v>482</v>
      </c>
    </row>
    <row r="25" spans="1:9" x14ac:dyDescent="0.25">
      <c r="A25" s="123" t="s">
        <v>483</v>
      </c>
      <c r="B25" s="125">
        <f>B23+B24</f>
        <v>7.1629999999999999E-2</v>
      </c>
      <c r="C25" s="123" t="s">
        <v>484</v>
      </c>
      <c r="I25" s="118" t="s">
        <v>485</v>
      </c>
    </row>
    <row r="26" spans="1:9" x14ac:dyDescent="0.25">
      <c r="A26" s="123" t="s">
        <v>486</v>
      </c>
      <c r="B26" s="126">
        <v>4</v>
      </c>
      <c r="C26" s="123" t="s">
        <v>479</v>
      </c>
      <c r="I26" s="118" t="s">
        <v>487</v>
      </c>
    </row>
    <row r="27" spans="1:9" x14ac:dyDescent="0.25">
      <c r="A27" s="123" t="s">
        <v>488</v>
      </c>
      <c r="B27" s="127">
        <f>B26*Inputs!B7</f>
        <v>53.536000000000001</v>
      </c>
      <c r="C27" s="123" t="s">
        <v>484</v>
      </c>
      <c r="I27" s="118" t="s">
        <v>489</v>
      </c>
    </row>
    <row r="28" spans="1:9" x14ac:dyDescent="0.25">
      <c r="A28" s="123" t="s">
        <v>490</v>
      </c>
      <c r="B28" s="124">
        <v>0.01</v>
      </c>
      <c r="C28" s="123" t="s">
        <v>479</v>
      </c>
      <c r="I28" s="118" t="s">
        <v>491</v>
      </c>
    </row>
    <row r="29" spans="1:9" x14ac:dyDescent="0.25">
      <c r="A29" s="123" t="s">
        <v>492</v>
      </c>
      <c r="B29" s="124">
        <v>0.75</v>
      </c>
      <c r="C29" s="123" t="s">
        <v>479</v>
      </c>
      <c r="I29" s="118" t="s">
        <v>493</v>
      </c>
    </row>
    <row r="30" spans="1:9" x14ac:dyDescent="0.25">
      <c r="A30" s="123" t="s">
        <v>494</v>
      </c>
      <c r="B30" s="128">
        <v>8</v>
      </c>
      <c r="C30" s="123" t="s">
        <v>495</v>
      </c>
      <c r="I30" s="118" t="s">
        <v>496</v>
      </c>
    </row>
    <row r="31" spans="1:9" x14ac:dyDescent="0.25">
      <c r="A31" s="123" t="s">
        <v>497</v>
      </c>
      <c r="B31" s="124">
        <v>0.03</v>
      </c>
      <c r="C31" s="123" t="s">
        <v>479</v>
      </c>
      <c r="I31" s="118" t="s">
        <v>498</v>
      </c>
    </row>
    <row r="32" spans="1:9" x14ac:dyDescent="0.25">
      <c r="A32" s="123" t="s">
        <v>499</v>
      </c>
      <c r="B32" s="124">
        <v>0.03</v>
      </c>
      <c r="C32" s="123" t="s">
        <v>479</v>
      </c>
      <c r="I32" s="118" t="s">
        <v>500</v>
      </c>
    </row>
    <row r="33" spans="1:9" x14ac:dyDescent="0.25">
      <c r="A33" s="123" t="s">
        <v>501</v>
      </c>
      <c r="B33" s="128">
        <v>7.4999999999999997E-2</v>
      </c>
      <c r="C33" s="123" t="s">
        <v>495</v>
      </c>
      <c r="I33" s="118" t="s">
        <v>502</v>
      </c>
    </row>
    <row r="34" spans="1:9" x14ac:dyDescent="0.25">
      <c r="A34" s="123" t="s">
        <v>503</v>
      </c>
      <c r="B34" s="124">
        <v>0.35</v>
      </c>
      <c r="C34" s="123" t="s">
        <v>504</v>
      </c>
      <c r="I34" s="118" t="s">
        <v>505</v>
      </c>
    </row>
    <row r="35" spans="1:9" x14ac:dyDescent="0.25">
      <c r="A35" s="123" t="s">
        <v>506</v>
      </c>
      <c r="B35" s="124">
        <v>0.35</v>
      </c>
      <c r="C35" s="123" t="s">
        <v>495</v>
      </c>
      <c r="I35" s="118" t="s">
        <v>507</v>
      </c>
    </row>
    <row r="36" spans="1:9" x14ac:dyDescent="0.25">
      <c r="A36" s="123" t="s">
        <v>508</v>
      </c>
      <c r="B36" s="126">
        <v>15</v>
      </c>
      <c r="C36" s="123" t="s">
        <v>495</v>
      </c>
      <c r="I36" s="118" t="s">
        <v>509</v>
      </c>
    </row>
    <row r="37" spans="1:9" x14ac:dyDescent="0.25">
      <c r="A37" s="123" t="s">
        <v>510</v>
      </c>
      <c r="B37" s="124">
        <v>0.25</v>
      </c>
      <c r="C37" s="123" t="s">
        <v>511</v>
      </c>
      <c r="I37" s="118" t="s">
        <v>512</v>
      </c>
    </row>
    <row r="38" spans="1:9" x14ac:dyDescent="0.25">
      <c r="A38" s="123" t="s">
        <v>513</v>
      </c>
      <c r="B38" s="124">
        <v>3.3000000000000002E-2</v>
      </c>
      <c r="C38" s="123" t="s">
        <v>511</v>
      </c>
      <c r="I38" s="118" t="s">
        <v>514</v>
      </c>
    </row>
    <row r="39" spans="1:9" x14ac:dyDescent="0.25">
      <c r="A39" s="123" t="s">
        <v>515</v>
      </c>
      <c r="B39" s="128">
        <v>0.76300000000000001</v>
      </c>
      <c r="C39" s="123" t="s">
        <v>511</v>
      </c>
      <c r="I39" s="118" t="s">
        <v>516</v>
      </c>
    </row>
    <row r="40" spans="1:9" x14ac:dyDescent="0.25">
      <c r="A40" s="123" t="s">
        <v>517</v>
      </c>
      <c r="B40" s="127">
        <f>Inputs!B34</f>
        <v>3.5</v>
      </c>
      <c r="C40" s="123" t="s">
        <v>511</v>
      </c>
      <c r="I40" s="118" t="s">
        <v>518</v>
      </c>
    </row>
    <row r="41" spans="1:9" x14ac:dyDescent="0.25">
      <c r="A41" s="123" t="s">
        <v>519</v>
      </c>
      <c r="B41" s="127">
        <f>FY25_base!B49</f>
        <v>14.654</v>
      </c>
      <c r="C41" s="123" t="s">
        <v>511</v>
      </c>
      <c r="I41" s="118" t="s">
        <v>520</v>
      </c>
    </row>
    <row r="42" spans="1:9" x14ac:dyDescent="0.25">
      <c r="A42" s="123" t="s">
        <v>521</v>
      </c>
      <c r="B42" s="127">
        <f>FY25_base!B46</f>
        <v>30.981000000000002</v>
      </c>
      <c r="C42" s="123" t="s">
        <v>511</v>
      </c>
      <c r="I42" s="118" t="s">
        <v>522</v>
      </c>
    </row>
    <row r="43" spans="1:9" x14ac:dyDescent="0.25">
      <c r="A43" s="123" t="s">
        <v>523</v>
      </c>
      <c r="B43" s="127">
        <f>-(FY25_base!B47+FY25_base!B48)</f>
        <v>16.327000000000002</v>
      </c>
      <c r="C43" s="123" t="s">
        <v>511</v>
      </c>
      <c r="I43" s="118" t="s">
        <v>524</v>
      </c>
    </row>
    <row r="44" spans="1:9" x14ac:dyDescent="0.25">
      <c r="A44" s="123" t="s">
        <v>525</v>
      </c>
      <c r="B44" s="128">
        <v>0.45500000000000002</v>
      </c>
      <c r="C44" s="123" t="s">
        <v>504</v>
      </c>
      <c r="I44" s="118" t="s">
        <v>526</v>
      </c>
    </row>
    <row r="45" spans="1:9" x14ac:dyDescent="0.25">
      <c r="A45" s="123" t="s">
        <v>527</v>
      </c>
      <c r="B45" s="128">
        <v>1.4590000000000001</v>
      </c>
      <c r="C45" s="123" t="s">
        <v>504</v>
      </c>
      <c r="I45" s="118" t="s">
        <v>528</v>
      </c>
    </row>
    <row r="46" spans="1:9" x14ac:dyDescent="0.25">
      <c r="A46" s="123" t="s">
        <v>529</v>
      </c>
      <c r="B46" s="129">
        <v>5</v>
      </c>
      <c r="C46" s="123" t="s">
        <v>495</v>
      </c>
      <c r="I46" s="118" t="s">
        <v>530</v>
      </c>
    </row>
    <row r="47" spans="1:9" x14ac:dyDescent="0.25">
      <c r="A47" s="123" t="s">
        <v>108</v>
      </c>
      <c r="B47" s="127">
        <f>Inputs!B7</f>
        <v>13.384</v>
      </c>
      <c r="C47" s="123" t="s">
        <v>511</v>
      </c>
      <c r="I47" s="118" t="s">
        <v>531</v>
      </c>
    </row>
    <row r="49" spans="1:9" x14ac:dyDescent="0.25">
      <c r="A49" s="121" t="s">
        <v>532</v>
      </c>
      <c r="B49" s="121" t="s">
        <v>101</v>
      </c>
      <c r="C49" s="121" t="s">
        <v>102</v>
      </c>
      <c r="D49" s="121" t="s">
        <v>103</v>
      </c>
      <c r="E49" s="122"/>
      <c r="F49" s="122"/>
      <c r="G49" s="122"/>
      <c r="H49" s="122"/>
      <c r="I49" s="122"/>
    </row>
    <row r="50" spans="1:9" x14ac:dyDescent="0.25">
      <c r="A50" s="123" t="s">
        <v>533</v>
      </c>
      <c r="B50" s="128">
        <v>169.7</v>
      </c>
      <c r="C50" s="128">
        <v>241.9</v>
      </c>
      <c r="D50" s="128">
        <v>297.3</v>
      </c>
      <c r="I50" s="118" t="s">
        <v>534</v>
      </c>
    </row>
    <row r="53" spans="1:9" x14ac:dyDescent="0.25">
      <c r="A53" s="119" t="s">
        <v>535</v>
      </c>
      <c r="B53" s="120"/>
      <c r="C53" s="120"/>
      <c r="D53" s="120"/>
      <c r="E53" s="120"/>
      <c r="F53" s="120"/>
      <c r="G53" s="120"/>
      <c r="H53" s="120"/>
      <c r="I53" s="120"/>
    </row>
    <row r="54" spans="1:9" x14ac:dyDescent="0.25">
      <c r="A54" s="121"/>
      <c r="B54" s="121" t="s">
        <v>101</v>
      </c>
      <c r="C54" s="121" t="s">
        <v>102</v>
      </c>
      <c r="D54" s="121" t="s">
        <v>103</v>
      </c>
      <c r="E54" s="122"/>
      <c r="F54" s="122"/>
      <c r="G54" s="122"/>
      <c r="H54" s="122"/>
      <c r="I54" s="121" t="s">
        <v>28</v>
      </c>
    </row>
    <row r="55" spans="1:9" x14ac:dyDescent="0.25">
      <c r="A55" s="123" t="s">
        <v>536</v>
      </c>
      <c r="B55" s="130">
        <f>B50-$B$41</f>
        <v>155.04599999999999</v>
      </c>
      <c r="C55" s="130">
        <f>C50-$B$41</f>
        <v>227.24600000000001</v>
      </c>
      <c r="D55" s="130">
        <f>D50-$B$41</f>
        <v>282.64600000000002</v>
      </c>
      <c r="I55" s="118" t="s">
        <v>537</v>
      </c>
    </row>
    <row r="56" spans="1:9" x14ac:dyDescent="0.25">
      <c r="A56" s="123" t="s">
        <v>538</v>
      </c>
      <c r="B56" s="130">
        <f>$B$42</f>
        <v>30.981000000000002</v>
      </c>
      <c r="C56" s="130">
        <f>$B$42</f>
        <v>30.981000000000002</v>
      </c>
      <c r="D56" s="130">
        <f>$B$42</f>
        <v>30.981000000000002</v>
      </c>
      <c r="I56" s="118" t="s">
        <v>539</v>
      </c>
    </row>
    <row r="57" spans="1:9" x14ac:dyDescent="0.25">
      <c r="A57" s="123" t="s">
        <v>540</v>
      </c>
      <c r="B57" s="130">
        <f>$B$44</f>
        <v>0.45500000000000002</v>
      </c>
      <c r="C57" s="130">
        <f>$B$44</f>
        <v>0.45500000000000002</v>
      </c>
      <c r="D57" s="130">
        <f>$B$44</f>
        <v>0.45500000000000002</v>
      </c>
      <c r="I57" s="118" t="s">
        <v>541</v>
      </c>
    </row>
    <row r="58" spans="1:9" x14ac:dyDescent="0.25">
      <c r="A58" s="123" t="s">
        <v>542</v>
      </c>
      <c r="B58" s="130">
        <f>$B$45</f>
        <v>1.4590000000000001</v>
      </c>
      <c r="C58" s="130">
        <f>$B$45</f>
        <v>1.4590000000000001</v>
      </c>
      <c r="D58" s="130">
        <f>$B$45</f>
        <v>1.4590000000000001</v>
      </c>
      <c r="I58" s="118" t="s">
        <v>543</v>
      </c>
    </row>
    <row r="59" spans="1:9" x14ac:dyDescent="0.25">
      <c r="A59" s="123" t="s">
        <v>544</v>
      </c>
      <c r="B59" s="130">
        <f>B50*$B$31</f>
        <v>5.0909999999999993</v>
      </c>
      <c r="C59" s="130">
        <f>C50*$B$31</f>
        <v>7.2569999999999997</v>
      </c>
      <c r="D59" s="130">
        <f>D50*$B$31</f>
        <v>8.9190000000000005</v>
      </c>
      <c r="I59" s="118" t="s">
        <v>545</v>
      </c>
    </row>
    <row r="60" spans="1:9" x14ac:dyDescent="0.25">
      <c r="A60" s="123" t="s">
        <v>546</v>
      </c>
      <c r="B60" s="130">
        <f>$B$27*$B$32</f>
        <v>1.60608</v>
      </c>
      <c r="C60" s="130">
        <f>$B$27*$B$32</f>
        <v>1.60608</v>
      </c>
      <c r="D60" s="130">
        <f>$B$27*$B$32</f>
        <v>1.60608</v>
      </c>
      <c r="I60" s="118" t="s">
        <v>547</v>
      </c>
    </row>
    <row r="61" spans="1:9" x14ac:dyDescent="0.25">
      <c r="A61" s="123" t="s">
        <v>548</v>
      </c>
      <c r="B61" s="130">
        <f>$B$30</f>
        <v>8</v>
      </c>
      <c r="C61" s="130">
        <f>$B$30</f>
        <v>8</v>
      </c>
      <c r="D61" s="130">
        <f>$B$30</f>
        <v>8</v>
      </c>
      <c r="I61" s="118" t="s">
        <v>549</v>
      </c>
    </row>
    <row r="62" spans="1:9" x14ac:dyDescent="0.25">
      <c r="A62" s="131" t="s">
        <v>550</v>
      </c>
      <c r="B62" s="132">
        <f>SUM(B55:B61)</f>
        <v>202.63808</v>
      </c>
      <c r="C62" s="132">
        <f>SUM(C55:C61)</f>
        <v>277.00408000000004</v>
      </c>
      <c r="D62" s="132">
        <f>SUM(D55:D61)</f>
        <v>334.06608</v>
      </c>
    </row>
    <row r="63" spans="1:9" x14ac:dyDescent="0.25">
      <c r="A63" s="123" t="s">
        <v>551</v>
      </c>
      <c r="B63" s="130">
        <f>$B$27</f>
        <v>53.536000000000001</v>
      </c>
      <c r="C63" s="130">
        <f>$B$27</f>
        <v>53.536000000000001</v>
      </c>
      <c r="D63" s="130">
        <f>$B$27</f>
        <v>53.536000000000001</v>
      </c>
      <c r="I63" s="118" t="s">
        <v>552</v>
      </c>
    </row>
    <row r="64" spans="1:9" x14ac:dyDescent="0.25">
      <c r="A64" s="123" t="s">
        <v>553</v>
      </c>
      <c r="B64" s="130">
        <f>$B$43</f>
        <v>16.327000000000002</v>
      </c>
      <c r="C64" s="130">
        <f>$B$43</f>
        <v>16.327000000000002</v>
      </c>
      <c r="D64" s="130">
        <f>$B$43</f>
        <v>16.327000000000002</v>
      </c>
      <c r="I64" s="118" t="s">
        <v>554</v>
      </c>
    </row>
    <row r="65" spans="1:9" x14ac:dyDescent="0.25">
      <c r="A65" s="123" t="s">
        <v>555</v>
      </c>
      <c r="B65" s="130">
        <f>$B$34*$B$35*B55</f>
        <v>18.993134999999995</v>
      </c>
      <c r="C65" s="130">
        <f>$B$34*$B$35*C55</f>
        <v>27.837634999999999</v>
      </c>
      <c r="D65" s="130">
        <f>$B$34*$B$35*D55</f>
        <v>34.624134999999995</v>
      </c>
      <c r="I65" s="118" t="s">
        <v>556</v>
      </c>
    </row>
    <row r="66" spans="1:9" x14ac:dyDescent="0.25">
      <c r="A66" s="123" t="s">
        <v>557</v>
      </c>
      <c r="B66" s="130">
        <f>B62-B63-B64-B65</f>
        <v>113.78194500000001</v>
      </c>
      <c r="C66" s="130">
        <f>C62-C63-C64-C65</f>
        <v>179.30344500000004</v>
      </c>
      <c r="D66" s="130">
        <f>D62-D63-D64-D65</f>
        <v>229.578945</v>
      </c>
    </row>
    <row r="67" spans="1:9" x14ac:dyDescent="0.25">
      <c r="A67" s="131" t="s">
        <v>558</v>
      </c>
      <c r="B67" s="132">
        <f>SUM(B63:B66)</f>
        <v>202.63808</v>
      </c>
      <c r="C67" s="132">
        <f>SUM(C63:C66)</f>
        <v>277.00408000000004</v>
      </c>
      <c r="D67" s="132">
        <f>SUM(D63:D66)</f>
        <v>334.06608</v>
      </c>
    </row>
    <row r="68" spans="1:9" x14ac:dyDescent="0.25">
      <c r="A68" s="131" t="s">
        <v>559</v>
      </c>
      <c r="B68" s="133">
        <f>B67-B62</f>
        <v>0</v>
      </c>
      <c r="C68" s="133">
        <f>C67-C62</f>
        <v>0</v>
      </c>
      <c r="D68" s="133">
        <f>D67-D62</f>
        <v>0</v>
      </c>
      <c r="I68" s="118" t="s">
        <v>560</v>
      </c>
    </row>
    <row r="70" spans="1:9" x14ac:dyDescent="0.25">
      <c r="A70" s="119" t="s">
        <v>561</v>
      </c>
      <c r="B70" s="119" t="s">
        <v>101</v>
      </c>
      <c r="C70" s="119" t="s">
        <v>102</v>
      </c>
      <c r="D70" s="119" t="s">
        <v>103</v>
      </c>
      <c r="E70" s="120"/>
      <c r="F70" s="120"/>
      <c r="G70" s="120"/>
      <c r="H70" s="120"/>
      <c r="I70" s="120"/>
    </row>
    <row r="71" spans="1:9" x14ac:dyDescent="0.25">
      <c r="A71" s="123" t="s">
        <v>562</v>
      </c>
      <c r="B71" s="130">
        <f>$B$27-$B$30</f>
        <v>45.536000000000001</v>
      </c>
    </row>
    <row r="72" spans="1:9" x14ac:dyDescent="0.25">
      <c r="A72" s="123" t="s">
        <v>563</v>
      </c>
      <c r="B72" s="134">
        <f>B71/$B$47</f>
        <v>3.4022713687985653</v>
      </c>
      <c r="I72" s="118" t="s">
        <v>564</v>
      </c>
    </row>
    <row r="73" spans="1:9" x14ac:dyDescent="0.25">
      <c r="A73" s="123" t="s">
        <v>565</v>
      </c>
      <c r="B73" s="130">
        <f>B50-$B71</f>
        <v>124.16399999999999</v>
      </c>
      <c r="C73" s="130">
        <f>C50-$B71</f>
        <v>196.364</v>
      </c>
      <c r="D73" s="130">
        <f>D50-$B71</f>
        <v>251.76400000000001</v>
      </c>
    </row>
    <row r="74" spans="1:9" x14ac:dyDescent="0.25">
      <c r="A74" s="123" t="s">
        <v>566</v>
      </c>
      <c r="B74" s="125">
        <f>B65/B73</f>
        <v>0.1529681308591862</v>
      </c>
      <c r="C74" s="125">
        <f>C65/C73</f>
        <v>0.1417654712676458</v>
      </c>
      <c r="D74" s="125">
        <f>D65/D73</f>
        <v>0.13752615544716479</v>
      </c>
      <c r="I74" s="118" t="s">
        <v>567</v>
      </c>
    </row>
    <row r="75" spans="1:9" x14ac:dyDescent="0.25">
      <c r="A75" s="123" t="s">
        <v>568</v>
      </c>
      <c r="B75" s="125">
        <f>1-B74</f>
        <v>0.84703186914081385</v>
      </c>
      <c r="C75" s="125">
        <f>1-C74</f>
        <v>0.85823452873235417</v>
      </c>
      <c r="D75" s="125">
        <f>1-D74</f>
        <v>0.86247384455283527</v>
      </c>
    </row>
    <row r="80" spans="1:9" x14ac:dyDescent="0.25">
      <c r="A80" s="119" t="s">
        <v>569</v>
      </c>
      <c r="B80" s="120"/>
      <c r="C80" s="120"/>
      <c r="D80" s="120"/>
      <c r="E80" s="120"/>
      <c r="F80" s="120"/>
      <c r="G80" s="120"/>
      <c r="H80" s="120"/>
      <c r="I80" s="120"/>
    </row>
    <row r="81" spans="1:9" x14ac:dyDescent="0.25">
      <c r="A81" s="121" t="s">
        <v>570</v>
      </c>
      <c r="B81" s="121"/>
      <c r="C81" s="121" t="s">
        <v>9</v>
      </c>
      <c r="D81" s="121" t="s">
        <v>10</v>
      </c>
      <c r="E81" s="121" t="s">
        <v>11</v>
      </c>
      <c r="F81" s="121" t="s">
        <v>12</v>
      </c>
      <c r="G81" s="121" t="s">
        <v>13</v>
      </c>
      <c r="H81" s="122"/>
      <c r="I81" s="122"/>
    </row>
    <row r="82" spans="1:9" x14ac:dyDescent="0.25">
      <c r="A82" s="123" t="s">
        <v>571</v>
      </c>
      <c r="C82" s="127">
        <f>DCF!B7</f>
        <v>68.785920000000004</v>
      </c>
      <c r="D82" s="127">
        <f>DCF!E7</f>
        <v>75.664512000000016</v>
      </c>
      <c r="E82" s="127">
        <f>DCF!H7</f>
        <v>81.717672960000016</v>
      </c>
      <c r="F82" s="127">
        <f>DCF!K7</f>
        <v>87.437910067200022</v>
      </c>
      <c r="G82" s="127">
        <f>DCF!N7</f>
        <v>92.684184671232032</v>
      </c>
    </row>
    <row r="83" spans="1:9" x14ac:dyDescent="0.25">
      <c r="A83" s="123" t="s">
        <v>572</v>
      </c>
      <c r="C83" s="127">
        <f>DCF!B12</f>
        <v>15.568931840000003</v>
      </c>
      <c r="D83" s="127">
        <f>DCF!E12</f>
        <v>17.762562048000003</v>
      </c>
      <c r="E83" s="127">
        <f>DCF!H12</f>
        <v>19.871242997760007</v>
      </c>
      <c r="F83" s="127">
        <f>DCF!K12</f>
        <v>21.998043312537607</v>
      </c>
      <c r="G83" s="127">
        <f>DCF!N12</f>
        <v>24.097888014520329</v>
      </c>
    </row>
    <row r="84" spans="1:9" x14ac:dyDescent="0.25">
      <c r="A84" s="123" t="s">
        <v>573</v>
      </c>
      <c r="C84" s="127">
        <f>DCF!B13</f>
        <v>1.3757184</v>
      </c>
      <c r="D84" s="127">
        <f>DCF!E13</f>
        <v>1.5132902400000003</v>
      </c>
      <c r="E84" s="127">
        <f>DCF!H13</f>
        <v>1.6343534592000004</v>
      </c>
      <c r="F84" s="127">
        <f>DCF!K13</f>
        <v>1.7487582013440004</v>
      </c>
      <c r="G84" s="127">
        <f>DCF!N13</f>
        <v>1.8536836934246406</v>
      </c>
    </row>
    <row r="85" spans="1:9" x14ac:dyDescent="0.25">
      <c r="A85" s="123" t="s">
        <v>574</v>
      </c>
      <c r="C85" s="127">
        <f>DCF!B14</f>
        <v>14.193213440000003</v>
      </c>
      <c r="D85" s="127">
        <f>DCF!E14</f>
        <v>16.249271808000003</v>
      </c>
      <c r="E85" s="127">
        <f>DCF!H14</f>
        <v>18.236889538560007</v>
      </c>
      <c r="F85" s="127">
        <f>DCF!K14</f>
        <v>20.249285111193608</v>
      </c>
      <c r="G85" s="127">
        <f>DCF!N14</f>
        <v>22.244204321095687</v>
      </c>
    </row>
    <row r="86" spans="1:9" x14ac:dyDescent="0.25">
      <c r="A86" s="123" t="s">
        <v>575</v>
      </c>
      <c r="C86" s="127">
        <f>DCF!B19</f>
        <v>-2.0635775999999999</v>
      </c>
      <c r="D86" s="127">
        <f>DCF!E19</f>
        <v>-2.2699353600000003</v>
      </c>
      <c r="E86" s="127">
        <f>DCF!H19</f>
        <v>-2.4515301888000005</v>
      </c>
      <c r="F86" s="127">
        <f>DCF!K19</f>
        <v>-2.6231373020160005</v>
      </c>
      <c r="G86" s="127">
        <f>DCF!N19</f>
        <v>-2.7805255401369608</v>
      </c>
    </row>
    <row r="87" spans="1:9" x14ac:dyDescent="0.25">
      <c r="A87" s="123" t="s">
        <v>576</v>
      </c>
      <c r="C87" s="127">
        <f>DCF!B20</f>
        <v>-0.73699200000000076</v>
      </c>
      <c r="D87" s="127">
        <f>DCF!E20</f>
        <v>-0.68785920000000123</v>
      </c>
      <c r="E87" s="127">
        <f>DCF!H20</f>
        <v>-0.60531609600000003</v>
      </c>
      <c r="F87" s="127">
        <f>DCF!K20</f>
        <v>-0.57202371072000069</v>
      </c>
      <c r="G87" s="127">
        <f>DCF!N20</f>
        <v>-0.52462746040320096</v>
      </c>
    </row>
    <row r="88" spans="1:9" x14ac:dyDescent="0.25">
      <c r="A88" s="121" t="s">
        <v>577</v>
      </c>
      <c r="B88" s="122"/>
      <c r="C88" s="122"/>
      <c r="D88" s="122"/>
      <c r="E88" s="122"/>
      <c r="F88" s="122"/>
      <c r="G88" s="122"/>
      <c r="H88" s="122"/>
      <c r="I88" s="122"/>
    </row>
    <row r="89" spans="1:9" x14ac:dyDescent="0.25">
      <c r="A89" s="123" t="s">
        <v>578</v>
      </c>
      <c r="C89" s="130">
        <f>$B$27</f>
        <v>53.536000000000001</v>
      </c>
      <c r="D89" s="130">
        <f>C105</f>
        <v>48.053207381640007</v>
      </c>
      <c r="E89" s="130">
        <f>D105</f>
        <v>39.986003514955257</v>
      </c>
      <c r="F89" s="130">
        <f>E105</f>
        <v>29.828984327328932</v>
      </c>
      <c r="G89" s="130">
        <f>F105</f>
        <v>17.643179338152322</v>
      </c>
    </row>
    <row r="90" spans="1:9" x14ac:dyDescent="0.25">
      <c r="A90" s="123" t="s">
        <v>579</v>
      </c>
      <c r="C90" s="130">
        <f>C89*$B$25</f>
        <v>3.8347836800000001</v>
      </c>
      <c r="D90" s="130">
        <f>D89*$B$25</f>
        <v>3.4420512447468736</v>
      </c>
      <c r="E90" s="130">
        <f>E89*$B$25</f>
        <v>2.8641974317762449</v>
      </c>
      <c r="F90" s="130">
        <f>F89*$B$25</f>
        <v>2.1366501473665713</v>
      </c>
      <c r="G90" s="130">
        <f>G89*$B$25</f>
        <v>1.2637809359918508</v>
      </c>
    </row>
    <row r="91" spans="1:9" x14ac:dyDescent="0.25">
      <c r="A91" s="123" t="s">
        <v>580</v>
      </c>
      <c r="C91" s="130">
        <f>$B$33</f>
        <v>7.4999999999999997E-2</v>
      </c>
      <c r="D91" s="130">
        <f>$B$33</f>
        <v>7.4999999999999997E-2</v>
      </c>
      <c r="E91" s="130">
        <f>$B$33</f>
        <v>7.4999999999999997E-2</v>
      </c>
      <c r="F91" s="130">
        <f>$B$33</f>
        <v>7.4999999999999997E-2</v>
      </c>
      <c r="G91" s="130">
        <f>$B$33</f>
        <v>7.4999999999999997E-2</v>
      </c>
    </row>
    <row r="92" spans="1:9" x14ac:dyDescent="0.25">
      <c r="A92" s="123" t="s">
        <v>581</v>
      </c>
      <c r="C92" s="130">
        <f>C90+C91</f>
        <v>3.9097836800000003</v>
      </c>
      <c r="D92" s="130">
        <f>D90+D91</f>
        <v>3.5170512447468738</v>
      </c>
      <c r="E92" s="130">
        <f>E90+E91</f>
        <v>2.939197431776245</v>
      </c>
      <c r="F92" s="130">
        <f>F90+F91</f>
        <v>2.2116501473665715</v>
      </c>
      <c r="G92" s="130">
        <f>G90+G91</f>
        <v>1.3387809359918508</v>
      </c>
    </row>
    <row r="93" spans="1:9" x14ac:dyDescent="0.25">
      <c r="A93" s="123" t="s">
        <v>582</v>
      </c>
      <c r="C93" s="130">
        <f>MAX(3,0.3*C83)</f>
        <v>4.6706795520000011</v>
      </c>
      <c r="D93" s="130">
        <f>MAX(3,0.3*D83)</f>
        <v>5.3287686144000004</v>
      </c>
      <c r="E93" s="130">
        <f>MAX(3,0.3*E83)</f>
        <v>5.9613728993280022</v>
      </c>
      <c r="F93" s="130">
        <f>MAX(3,0.3*F83)</f>
        <v>6.5994129937612822</v>
      </c>
      <c r="G93" s="130">
        <f>MAX(3,0.3*G83)</f>
        <v>7.2293664043560986</v>
      </c>
    </row>
    <row r="94" spans="1:9" x14ac:dyDescent="0.25">
      <c r="A94" s="123" t="s">
        <v>583</v>
      </c>
      <c r="C94" s="130">
        <f>MIN(C92,C93)</f>
        <v>3.9097836800000003</v>
      </c>
      <c r="D94" s="130">
        <f>MIN(D92,D93)</f>
        <v>3.5170512447468738</v>
      </c>
      <c r="E94" s="130">
        <f>MIN(E92,E93)</f>
        <v>2.939197431776245</v>
      </c>
      <c r="F94" s="130">
        <f>MIN(F92,F93)</f>
        <v>2.2116501473665715</v>
      </c>
      <c r="G94" s="130">
        <f>MIN(G92,G93)</f>
        <v>1.3387809359918508</v>
      </c>
    </row>
    <row r="95" spans="1:9" x14ac:dyDescent="0.25">
      <c r="A95" s="123" t="s">
        <v>584</v>
      </c>
      <c r="C95" s="130">
        <f>0+C92-C94</f>
        <v>0</v>
      </c>
      <c r="D95" s="130">
        <f>C95+D92-D94</f>
        <v>0</v>
      </c>
      <c r="E95" s="130">
        <f>D95+E92-E94</f>
        <v>0</v>
      </c>
      <c r="F95" s="130">
        <f>E95+F92-F94</f>
        <v>0</v>
      </c>
      <c r="G95" s="130">
        <f>F95+G92-G94</f>
        <v>0</v>
      </c>
    </row>
    <row r="96" spans="1:9" x14ac:dyDescent="0.25">
      <c r="A96" s="123" t="s">
        <v>585</v>
      </c>
      <c r="C96" s="130">
        <f>C85-$B$40-C94</f>
        <v>6.7834297600000024</v>
      </c>
      <c r="D96" s="130">
        <f>D85-$B$40-D94</f>
        <v>9.2322205632531293</v>
      </c>
      <c r="E96" s="130">
        <f>E85-$B$40-E94</f>
        <v>11.797692106783762</v>
      </c>
      <c r="F96" s="130">
        <f>F85-$B$40-F94</f>
        <v>14.537634963827037</v>
      </c>
      <c r="G96" s="130">
        <f>G85-$B$40-G94</f>
        <v>17.405423385103838</v>
      </c>
    </row>
    <row r="97" spans="1:9" x14ac:dyDescent="0.25">
      <c r="A97" s="123" t="s">
        <v>586</v>
      </c>
      <c r="C97" s="130">
        <f>MAX(0,$B$37*C96)</f>
        <v>1.6958574400000006</v>
      </c>
      <c r="D97" s="130">
        <f>MAX(0,$B$37*D96)</f>
        <v>2.3080551408132823</v>
      </c>
      <c r="E97" s="130">
        <f>MAX(0,$B$37*E96)</f>
        <v>2.9494230266959405</v>
      </c>
      <c r="F97" s="130">
        <f>MAX(0,$B$37*F96)</f>
        <v>3.6344087409567591</v>
      </c>
      <c r="G97" s="130">
        <f>MAX(0,$B$37*G96)</f>
        <v>4.3513558462759594</v>
      </c>
    </row>
    <row r="98" spans="1:9" x14ac:dyDescent="0.25">
      <c r="A98" s="123" t="s">
        <v>587</v>
      </c>
      <c r="C98" s="130">
        <f>$B$38*MAX(0,C97-$B$39)</f>
        <v>3.0784295520000022E-2</v>
      </c>
      <c r="D98" s="130">
        <f>$B$38*MAX(0,D97-$B$39)</f>
        <v>5.0986819646838322E-2</v>
      </c>
      <c r="E98" s="130">
        <f>$B$38*MAX(0,E97-$B$39)</f>
        <v>7.2151959880966038E-2</v>
      </c>
      <c r="F98" s="130">
        <f>$B$38*MAX(0,F97-$B$39)</f>
        <v>9.4756488451573057E-2</v>
      </c>
      <c r="G98" s="130">
        <f>$B$38*MAX(0,G97-$B$39)</f>
        <v>0.11841574292710667</v>
      </c>
    </row>
    <row r="99" spans="1:9" x14ac:dyDescent="0.25">
      <c r="A99" s="123" t="s">
        <v>588</v>
      </c>
      <c r="C99" s="130">
        <f>MAX(0,C97+C98)</f>
        <v>1.7266417355200006</v>
      </c>
      <c r="D99" s="130">
        <f>MAX(0,D97+D98)</f>
        <v>2.3590419604601207</v>
      </c>
      <c r="E99" s="130">
        <f>MAX(0,E97+E98)</f>
        <v>3.0215749865769066</v>
      </c>
      <c r="F99" s="130">
        <f>MAX(0,F97+F98)</f>
        <v>3.7291652294083324</v>
      </c>
      <c r="G99" s="130">
        <f>MAX(0,G97+G98)</f>
        <v>4.4697715892030665</v>
      </c>
    </row>
    <row r="100" spans="1:9" x14ac:dyDescent="0.25">
      <c r="A100" s="131" t="s">
        <v>589</v>
      </c>
      <c r="C100" s="132">
        <f>C85-C92-C99</f>
        <v>8.5567880244800012</v>
      </c>
      <c r="D100" s="132">
        <f>D85-D92-D99</f>
        <v>10.373178602793008</v>
      </c>
      <c r="E100" s="132">
        <f>E85-E92-E99</f>
        <v>12.276117120206855</v>
      </c>
      <c r="F100" s="132">
        <f>F85-F92-F99</f>
        <v>14.308469734418702</v>
      </c>
      <c r="G100" s="132">
        <f>G85-G92-G99</f>
        <v>16.435651795900771</v>
      </c>
    </row>
    <row r="101" spans="1:9" x14ac:dyDescent="0.25">
      <c r="A101" s="123" t="s">
        <v>590</v>
      </c>
      <c r="C101" s="130">
        <f>MIN($B$28*$B$27,C89)</f>
        <v>0.53536000000000006</v>
      </c>
      <c r="D101" s="130">
        <f>MIN($B$28*$B$27,D89)</f>
        <v>0.53536000000000006</v>
      </c>
      <c r="E101" s="130">
        <f>MIN($B$28*$B$27,E89)</f>
        <v>0.53536000000000006</v>
      </c>
      <c r="F101" s="130">
        <f>MIN($B$28*$B$27,F89)</f>
        <v>0.53536000000000006</v>
      </c>
      <c r="G101" s="130">
        <f>MIN($B$28*$B$27,G89)</f>
        <v>0.53536000000000006</v>
      </c>
    </row>
    <row r="102" spans="1:9" x14ac:dyDescent="0.25">
      <c r="A102" s="123" t="s">
        <v>591</v>
      </c>
      <c r="C102" s="130">
        <f>$B$30+C100+C84+C86+C87-C101</f>
        <v>14.596576824479998</v>
      </c>
      <c r="D102" s="130">
        <f>C106+D100+D84+D86+D87-D101</f>
        <v>18.042458488913002</v>
      </c>
      <c r="E102" s="130">
        <f>D106+E100+E84+E86+E87-E101</f>
        <v>20.828878916835105</v>
      </c>
      <c r="F102" s="130">
        <f>E106+F100+F84+F86+F87-F101</f>
        <v>23.533926652235479</v>
      </c>
      <c r="G102" s="130">
        <f>F106+G100+G84+G86+G87-G101</f>
        <v>26.33230415184412</v>
      </c>
    </row>
    <row r="103" spans="1:9" x14ac:dyDescent="0.25">
      <c r="A103" s="123" t="s">
        <v>592</v>
      </c>
      <c r="C103" s="130">
        <f>MAX(0,C102-$B$30)</f>
        <v>6.5965768244799978</v>
      </c>
      <c r="D103" s="130">
        <f>MAX(0,D102-$B$30)</f>
        <v>10.042458488913002</v>
      </c>
      <c r="E103" s="130">
        <f>MAX(0,E102-$B$30)</f>
        <v>12.828878916835105</v>
      </c>
      <c r="F103" s="130">
        <f>MAX(0,F102-$B$30)</f>
        <v>15.533926652235479</v>
      </c>
      <c r="G103" s="130">
        <f>MAX(0,G102-$B$30)</f>
        <v>18.33230415184412</v>
      </c>
    </row>
    <row r="104" spans="1:9" x14ac:dyDescent="0.25">
      <c r="A104" s="123" t="s">
        <v>593</v>
      </c>
      <c r="C104" s="130">
        <f>MIN($B$29*C103,C89-C101)</f>
        <v>4.9474326183599988</v>
      </c>
      <c r="D104" s="130">
        <f>MIN($B$29*D103,D89-D101)</f>
        <v>7.5318438666847518</v>
      </c>
      <c r="E104" s="130">
        <f>MIN($B$29*E103,E89-E101)</f>
        <v>9.621659187626328</v>
      </c>
      <c r="F104" s="130">
        <f>MIN($B$29*F103,F89-F101)</f>
        <v>11.650444989176609</v>
      </c>
      <c r="G104" s="130">
        <f>MIN($B$29*G103,G89-G101)</f>
        <v>13.74922811388309</v>
      </c>
    </row>
    <row r="105" spans="1:9" x14ac:dyDescent="0.25">
      <c r="A105" s="131" t="s">
        <v>594</v>
      </c>
      <c r="C105" s="132">
        <f>C89-C101-C104</f>
        <v>48.053207381640007</v>
      </c>
      <c r="D105" s="132">
        <f>D89-D101-D104</f>
        <v>39.986003514955257</v>
      </c>
      <c r="E105" s="132">
        <f>E89-E101-E104</f>
        <v>29.828984327328932</v>
      </c>
      <c r="F105" s="132">
        <f>F89-F101-F104</f>
        <v>17.643179338152322</v>
      </c>
      <c r="G105" s="132">
        <f>G89-G101-G104</f>
        <v>3.3585912242692313</v>
      </c>
    </row>
    <row r="106" spans="1:9" x14ac:dyDescent="0.25">
      <c r="A106" s="131" t="s">
        <v>595</v>
      </c>
      <c r="C106" s="132">
        <f>C102-C104</f>
        <v>9.649144206119999</v>
      </c>
      <c r="D106" s="132">
        <f>D102-D104</f>
        <v>10.51061462222825</v>
      </c>
      <c r="E106" s="132">
        <f>E102-E104</f>
        <v>11.207219729208777</v>
      </c>
      <c r="F106" s="132">
        <f>F102-F104</f>
        <v>11.88348166305887</v>
      </c>
      <c r="G106" s="132">
        <f>G102-G104</f>
        <v>12.58307603796103</v>
      </c>
    </row>
    <row r="107" spans="1:9" x14ac:dyDescent="0.25">
      <c r="A107" s="121" t="s">
        <v>596</v>
      </c>
      <c r="B107" s="122"/>
      <c r="C107" s="122"/>
      <c r="D107" s="122"/>
      <c r="E107" s="122"/>
      <c r="F107" s="122"/>
      <c r="G107" s="122"/>
      <c r="H107" s="122"/>
      <c r="I107" s="122"/>
    </row>
    <row r="108" spans="1:9" x14ac:dyDescent="0.25">
      <c r="A108" s="123" t="s">
        <v>597</v>
      </c>
      <c r="C108" s="130">
        <f>G83*$B$36</f>
        <v>361.46832021780494</v>
      </c>
    </row>
    <row r="109" spans="1:9" x14ac:dyDescent="0.25">
      <c r="A109" s="123" t="s">
        <v>598</v>
      </c>
      <c r="C109" s="130">
        <f>C108-G105+G106</f>
        <v>370.69280503149673</v>
      </c>
    </row>
    <row r="110" spans="1:9" x14ac:dyDescent="0.25">
      <c r="A110" s="123" t="s">
        <v>599</v>
      </c>
      <c r="C110" s="130">
        <f>C109*(1-B74)</f>
        <v>313.98861952287996</v>
      </c>
    </row>
    <row r="111" spans="1:9" x14ac:dyDescent="0.25">
      <c r="A111" s="123" t="s">
        <v>600</v>
      </c>
      <c r="C111" s="130">
        <f>B66</f>
        <v>113.78194500000001</v>
      </c>
    </row>
    <row r="112" spans="1:9" x14ac:dyDescent="0.25">
      <c r="A112" s="131" t="s">
        <v>601</v>
      </c>
      <c r="C112" s="135">
        <f>(C110/C111)^(1/5)-1</f>
        <v>0.22509032702462251</v>
      </c>
      <c r="I112" s="118" t="s">
        <v>602</v>
      </c>
    </row>
    <row r="113" spans="1:9" x14ac:dyDescent="0.25">
      <c r="A113" s="123" t="s">
        <v>603</v>
      </c>
      <c r="C113" s="136">
        <f>C110/C111</f>
        <v>2.7595645295295306</v>
      </c>
    </row>
    <row r="118" spans="1:9" x14ac:dyDescent="0.25">
      <c r="A118" s="119" t="s">
        <v>604</v>
      </c>
      <c r="B118" s="120"/>
      <c r="C118" s="120"/>
      <c r="D118" s="120"/>
      <c r="E118" s="120"/>
      <c r="F118" s="120"/>
      <c r="G118" s="120"/>
      <c r="H118" s="120"/>
      <c r="I118" s="120"/>
    </row>
    <row r="119" spans="1:9" x14ac:dyDescent="0.25">
      <c r="A119" s="121" t="s">
        <v>570</v>
      </c>
      <c r="B119" s="121"/>
      <c r="C119" s="121" t="s">
        <v>9</v>
      </c>
      <c r="D119" s="121" t="s">
        <v>10</v>
      </c>
      <c r="E119" s="121" t="s">
        <v>11</v>
      </c>
      <c r="F119" s="121" t="s">
        <v>12</v>
      </c>
      <c r="G119" s="121" t="s">
        <v>13</v>
      </c>
      <c r="H119" s="122"/>
      <c r="I119" s="122"/>
    </row>
    <row r="120" spans="1:9" x14ac:dyDescent="0.25">
      <c r="A120" s="123" t="s">
        <v>571</v>
      </c>
      <c r="C120" s="127">
        <f>DCF!C7</f>
        <v>71.856719999999996</v>
      </c>
      <c r="D120" s="127">
        <f>DCF!F7</f>
        <v>82.635227999999984</v>
      </c>
      <c r="E120" s="127">
        <f>DCF!I7</f>
        <v>93.377807639999972</v>
      </c>
      <c r="F120" s="127">
        <f>DCF!L7</f>
        <v>103.64936648039998</v>
      </c>
      <c r="G120" s="127">
        <f>DCF!O7</f>
        <v>112.97780946363598</v>
      </c>
    </row>
    <row r="121" spans="1:9" x14ac:dyDescent="0.25">
      <c r="A121" s="123" t="s">
        <v>572</v>
      </c>
      <c r="C121" s="127">
        <f>DCF!C12</f>
        <v>17.126254079999999</v>
      </c>
      <c r="D121" s="127">
        <f>DCF!F12</f>
        <v>21.382212383999999</v>
      </c>
      <c r="E121" s="127">
        <f>DCF!I12</f>
        <v>26.068232810879994</v>
      </c>
      <c r="F121" s="127">
        <f>DCF!L12</f>
        <v>31.051767846902393</v>
      </c>
      <c r="G121" s="127">
        <f>DCF!O12</f>
        <v>36.152899028363514</v>
      </c>
    </row>
    <row r="122" spans="1:9" x14ac:dyDescent="0.25">
      <c r="A122" s="123" t="s">
        <v>573</v>
      </c>
      <c r="C122" s="127">
        <f>DCF!C13</f>
        <v>1.4371343999999999</v>
      </c>
      <c r="D122" s="127">
        <f>DCF!F13</f>
        <v>1.6527045599999997</v>
      </c>
      <c r="E122" s="127">
        <f>DCF!I13</f>
        <v>1.8675561527999995</v>
      </c>
      <c r="F122" s="127">
        <f>DCF!L13</f>
        <v>2.0729873296079995</v>
      </c>
      <c r="G122" s="127">
        <f>DCF!O13</f>
        <v>2.2595561892727196</v>
      </c>
    </row>
    <row r="123" spans="1:9" x14ac:dyDescent="0.25">
      <c r="A123" s="123" t="s">
        <v>574</v>
      </c>
      <c r="C123" s="127">
        <f>DCF!C14</f>
        <v>15.689119679999999</v>
      </c>
      <c r="D123" s="127">
        <f>DCF!F14</f>
        <v>19.729507823999999</v>
      </c>
      <c r="E123" s="127">
        <f>DCF!I14</f>
        <v>24.200676658079995</v>
      </c>
      <c r="F123" s="127">
        <f>DCF!L14</f>
        <v>28.978780517294393</v>
      </c>
      <c r="G123" s="127">
        <f>DCF!O14</f>
        <v>33.893342839090792</v>
      </c>
    </row>
    <row r="124" spans="1:9" x14ac:dyDescent="0.25">
      <c r="A124" s="123" t="s">
        <v>575</v>
      </c>
      <c r="C124" s="127">
        <f>DCF!C19</f>
        <v>-1.9401314399999998</v>
      </c>
      <c r="D124" s="127">
        <f>DCF!F19</f>
        <v>-2.2311511559999997</v>
      </c>
      <c r="E124" s="127">
        <f>DCF!I19</f>
        <v>-2.5212008062799991</v>
      </c>
      <c r="F124" s="127">
        <f>DCF!L19</f>
        <v>-2.7985328949707995</v>
      </c>
      <c r="G124" s="127">
        <f>DCF!O19</f>
        <v>-3.0504008555181712</v>
      </c>
    </row>
    <row r="125" spans="1:9" x14ac:dyDescent="0.25">
      <c r="A125" s="123" t="s">
        <v>576</v>
      </c>
      <c r="C125" s="127">
        <f>DCF!C20</f>
        <v>-0.73085040000000001</v>
      </c>
      <c r="D125" s="127">
        <f>DCF!F20</f>
        <v>-0.75449555999999918</v>
      </c>
      <c r="E125" s="127">
        <f>DCF!I20</f>
        <v>-0.75198057479999925</v>
      </c>
      <c r="F125" s="127">
        <f>DCF!L20</f>
        <v>-0.71900911882800034</v>
      </c>
      <c r="G125" s="127">
        <f>DCF!O20</f>
        <v>-0.65299100882652017</v>
      </c>
    </row>
    <row r="126" spans="1:9" x14ac:dyDescent="0.25">
      <c r="A126" s="121" t="s">
        <v>577</v>
      </c>
      <c r="B126" s="122"/>
      <c r="C126" s="122"/>
      <c r="D126" s="122"/>
      <c r="E126" s="122"/>
      <c r="F126" s="122"/>
      <c r="G126" s="122"/>
      <c r="H126" s="122"/>
      <c r="I126" s="122"/>
    </row>
    <row r="127" spans="1:9" x14ac:dyDescent="0.25">
      <c r="A127" s="123" t="s">
        <v>578</v>
      </c>
      <c r="C127" s="130">
        <f>$B$27</f>
        <v>53.536000000000001</v>
      </c>
      <c r="D127" s="130">
        <f>C143</f>
        <v>47.077763221500007</v>
      </c>
      <c r="E127" s="130">
        <f>D143</f>
        <v>36.708057746175285</v>
      </c>
      <c r="F127" s="130">
        <f>E143</f>
        <v>22.514411375691434</v>
      </c>
      <c r="G127" s="130">
        <f>F143</f>
        <v>4.1702601196968452</v>
      </c>
    </row>
    <row r="128" spans="1:9" x14ac:dyDescent="0.25">
      <c r="A128" s="123" t="s">
        <v>579</v>
      </c>
      <c r="C128" s="130">
        <f>C127*$B$25</f>
        <v>3.8347836800000001</v>
      </c>
      <c r="D128" s="130">
        <f>D127*$B$25</f>
        <v>3.3721801795560453</v>
      </c>
      <c r="E128" s="130">
        <f>E127*$B$25</f>
        <v>2.6293981763585355</v>
      </c>
      <c r="F128" s="130">
        <f>F127*$B$25</f>
        <v>1.6127072868407775</v>
      </c>
      <c r="G128" s="130">
        <f>G127*$B$25</f>
        <v>0.29871573237388499</v>
      </c>
    </row>
    <row r="129" spans="1:7" x14ac:dyDescent="0.25">
      <c r="A129" s="123" t="s">
        <v>580</v>
      </c>
      <c r="C129" s="130">
        <f>$B$33</f>
        <v>7.4999999999999997E-2</v>
      </c>
      <c r="D129" s="130">
        <f>$B$33</f>
        <v>7.4999999999999997E-2</v>
      </c>
      <c r="E129" s="130">
        <f>$B$33</f>
        <v>7.4999999999999997E-2</v>
      </c>
      <c r="F129" s="130">
        <f>$B$33</f>
        <v>7.4999999999999997E-2</v>
      </c>
      <c r="G129" s="130">
        <f>$B$33</f>
        <v>7.4999999999999997E-2</v>
      </c>
    </row>
    <row r="130" spans="1:7" x14ac:dyDescent="0.25">
      <c r="A130" s="123" t="s">
        <v>581</v>
      </c>
      <c r="C130" s="130">
        <f>C128+C129</f>
        <v>3.9097836800000003</v>
      </c>
      <c r="D130" s="130">
        <f>D128+D129</f>
        <v>3.4471801795560455</v>
      </c>
      <c r="E130" s="130">
        <f>E128+E129</f>
        <v>2.7043981763585356</v>
      </c>
      <c r="F130" s="130">
        <f>F128+F129</f>
        <v>1.6877072868407774</v>
      </c>
      <c r="G130" s="130">
        <f>G128+G129</f>
        <v>0.373715732373885</v>
      </c>
    </row>
    <row r="131" spans="1:7" x14ac:dyDescent="0.25">
      <c r="A131" s="123" t="s">
        <v>582</v>
      </c>
      <c r="C131" s="130">
        <f>MAX(3,0.3*C121)</f>
        <v>5.1378762239999993</v>
      </c>
      <c r="D131" s="130">
        <f>MAX(3,0.3*D121)</f>
        <v>6.4146637151999997</v>
      </c>
      <c r="E131" s="130">
        <f>MAX(3,0.3*E121)</f>
        <v>7.8204698432639983</v>
      </c>
      <c r="F131" s="130">
        <f>MAX(3,0.3*F121)</f>
        <v>9.3155303540707184</v>
      </c>
      <c r="G131" s="130">
        <f>MAX(3,0.3*G121)</f>
        <v>10.845869708509055</v>
      </c>
    </row>
    <row r="132" spans="1:7" x14ac:dyDescent="0.25">
      <c r="A132" s="123" t="s">
        <v>583</v>
      </c>
      <c r="C132" s="130">
        <f>MIN(C130,C131)</f>
        <v>3.9097836800000003</v>
      </c>
      <c r="D132" s="130">
        <f>MIN(D130,D131)</f>
        <v>3.4471801795560455</v>
      </c>
      <c r="E132" s="130">
        <f>MIN(E130,E131)</f>
        <v>2.7043981763585356</v>
      </c>
      <c r="F132" s="130">
        <f>MIN(F130,F131)</f>
        <v>1.6877072868407774</v>
      </c>
      <c r="G132" s="130">
        <f>MIN(G130,G131)</f>
        <v>0.373715732373885</v>
      </c>
    </row>
    <row r="133" spans="1:7" x14ac:dyDescent="0.25">
      <c r="A133" s="123" t="s">
        <v>584</v>
      </c>
      <c r="C133" s="130">
        <f>0+C130-C132</f>
        <v>0</v>
      </c>
      <c r="D133" s="130">
        <f>C133+D130-D132</f>
        <v>0</v>
      </c>
      <c r="E133" s="130">
        <f>D133+E130-E132</f>
        <v>0</v>
      </c>
      <c r="F133" s="130">
        <f>E133+F130-F132</f>
        <v>0</v>
      </c>
      <c r="G133" s="130">
        <f>F133+G130-G132</f>
        <v>0</v>
      </c>
    </row>
    <row r="134" spans="1:7" x14ac:dyDescent="0.25">
      <c r="A134" s="123" t="s">
        <v>585</v>
      </c>
      <c r="C134" s="130">
        <f>C123-$B$40-C132</f>
        <v>8.2793359999999989</v>
      </c>
      <c r="D134" s="130">
        <f>D123-$B$40-D132</f>
        <v>12.782327644443953</v>
      </c>
      <c r="E134" s="130">
        <f>E123-$B$40-E132</f>
        <v>17.996278481721461</v>
      </c>
      <c r="F134" s="130">
        <f>F123-$B$40-F132</f>
        <v>23.791073230453616</v>
      </c>
      <c r="G134" s="130">
        <f>G123-$B$40-G132</f>
        <v>30.019627106716907</v>
      </c>
    </row>
    <row r="135" spans="1:7" x14ac:dyDescent="0.25">
      <c r="A135" s="123" t="s">
        <v>586</v>
      </c>
      <c r="C135" s="130">
        <f>MAX(0,$B$37*C134)</f>
        <v>2.0698339999999997</v>
      </c>
      <c r="D135" s="130">
        <f>MAX(0,$B$37*D134)</f>
        <v>3.1955819111109882</v>
      </c>
      <c r="E135" s="130">
        <f>MAX(0,$B$37*E134)</f>
        <v>4.4990696204303653</v>
      </c>
      <c r="F135" s="130">
        <f>MAX(0,$B$37*F134)</f>
        <v>5.947768307613404</v>
      </c>
      <c r="G135" s="130">
        <f>MAX(0,$B$37*G134)</f>
        <v>7.5049067766792268</v>
      </c>
    </row>
    <row r="136" spans="1:7" x14ac:dyDescent="0.25">
      <c r="A136" s="123" t="s">
        <v>587</v>
      </c>
      <c r="C136" s="130">
        <f>$B$38*MAX(0,C135-$B$39)</f>
        <v>4.3125521999999999E-2</v>
      </c>
      <c r="D136" s="130">
        <f>$B$38*MAX(0,D135-$B$39)</f>
        <v>8.0275203066662623E-2</v>
      </c>
      <c r="E136" s="130">
        <f>$B$38*MAX(0,E135-$B$39)</f>
        <v>0.12329029747420206</v>
      </c>
      <c r="F136" s="130">
        <f>$B$38*MAX(0,F135-$B$39)</f>
        <v>0.17109735415124233</v>
      </c>
      <c r="G136" s="130">
        <f>$B$38*MAX(0,G135-$B$39)</f>
        <v>0.2224829236304145</v>
      </c>
    </row>
    <row r="137" spans="1:7" x14ac:dyDescent="0.25">
      <c r="A137" s="123" t="s">
        <v>588</v>
      </c>
      <c r="C137" s="130">
        <f>MAX(0,C135+C136)</f>
        <v>2.1129595219999997</v>
      </c>
      <c r="D137" s="130">
        <f>MAX(0,D135+D136)</f>
        <v>3.2758571141776507</v>
      </c>
      <c r="E137" s="130">
        <f>MAX(0,E135+E136)</f>
        <v>4.6223599179045678</v>
      </c>
      <c r="F137" s="130">
        <f>MAX(0,F135+F136)</f>
        <v>6.1188656617646462</v>
      </c>
      <c r="G137" s="130">
        <f>MAX(0,G135+G136)</f>
        <v>7.727389700309641</v>
      </c>
    </row>
    <row r="138" spans="1:7" x14ac:dyDescent="0.25">
      <c r="A138" s="131" t="s">
        <v>589</v>
      </c>
      <c r="C138" s="132">
        <f>C123-C130-C137</f>
        <v>9.6663764780000001</v>
      </c>
      <c r="D138" s="132">
        <f>D123-D130-D137</f>
        <v>13.006470530266302</v>
      </c>
      <c r="E138" s="132">
        <f>E123-E130-E137</f>
        <v>16.873918563816893</v>
      </c>
      <c r="F138" s="132">
        <f>F123-F130-F137</f>
        <v>21.172207568688968</v>
      </c>
      <c r="G138" s="132">
        <f>G123-G130-G137</f>
        <v>25.792237406407263</v>
      </c>
    </row>
    <row r="139" spans="1:7" x14ac:dyDescent="0.25">
      <c r="A139" s="123" t="s">
        <v>590</v>
      </c>
      <c r="C139" s="130">
        <f>MIN($B$28*$B$27,C127)</f>
        <v>0.53536000000000006</v>
      </c>
      <c r="D139" s="130">
        <f>MIN($B$28*$B$27,D127)</f>
        <v>0.53536000000000006</v>
      </c>
      <c r="E139" s="130">
        <f>MIN($B$28*$B$27,E127)</f>
        <v>0.53536000000000006</v>
      </c>
      <c r="F139" s="130">
        <f>MIN($B$28*$B$27,F127)</f>
        <v>0.53536000000000006</v>
      </c>
      <c r="G139" s="130">
        <f>MIN($B$28*$B$27,G127)</f>
        <v>0.53536000000000006</v>
      </c>
    </row>
    <row r="140" spans="1:7" x14ac:dyDescent="0.25">
      <c r="A140" s="123" t="s">
        <v>591</v>
      </c>
      <c r="C140" s="130">
        <f>$B$30+C138+C122+C124+C125-C139</f>
        <v>15.897169038000001</v>
      </c>
      <c r="D140" s="130">
        <f>C144+D138+D122+D124+D125-D139</f>
        <v>21.112460633766304</v>
      </c>
      <c r="E140" s="130">
        <f>D144+E138+E122+E124+E125-E139</f>
        <v>26.21104849397847</v>
      </c>
      <c r="F140" s="130">
        <f>E144+F138+F122+F124+F125-F139</f>
        <v>31.745055007992786</v>
      </c>
      <c r="G140" s="130">
        <f>F144+G138+G122+G124+G125-G139</f>
        <v>37.749305483333501</v>
      </c>
    </row>
    <row r="141" spans="1:7" x14ac:dyDescent="0.25">
      <c r="A141" s="123" t="s">
        <v>592</v>
      </c>
      <c r="C141" s="130">
        <f>MAX(0,C140-$B$30)</f>
        <v>7.8971690380000013</v>
      </c>
      <c r="D141" s="130">
        <f>MAX(0,D140-$B$30)</f>
        <v>13.112460633766304</v>
      </c>
      <c r="E141" s="130">
        <f>MAX(0,E140-$B$30)</f>
        <v>18.21104849397847</v>
      </c>
      <c r="F141" s="130">
        <f>MAX(0,F140-$B$30)</f>
        <v>23.745055007992786</v>
      </c>
      <c r="G141" s="130">
        <f>MAX(0,G140-$B$30)</f>
        <v>29.749305483333501</v>
      </c>
    </row>
    <row r="142" spans="1:7" x14ac:dyDescent="0.25">
      <c r="A142" s="123" t="s">
        <v>593</v>
      </c>
      <c r="C142" s="130">
        <f>MIN($B$29*C141,C127-C139)</f>
        <v>5.9228767785000009</v>
      </c>
      <c r="D142" s="130">
        <f>MIN($B$29*D141,D127-D139)</f>
        <v>9.8343454753247279</v>
      </c>
      <c r="E142" s="130">
        <f>MIN($B$29*E141,E127-E139)</f>
        <v>13.658286370483854</v>
      </c>
      <c r="F142" s="130">
        <f>MIN($B$29*F141,F127-F139)</f>
        <v>17.808791255994588</v>
      </c>
      <c r="G142" s="130">
        <f>MIN($B$29*G141,G127-G139)</f>
        <v>3.6349001196968453</v>
      </c>
    </row>
    <row r="143" spans="1:7" x14ac:dyDescent="0.25">
      <c r="A143" s="131" t="s">
        <v>594</v>
      </c>
      <c r="C143" s="132">
        <f>C127-C139-C142</f>
        <v>47.077763221500007</v>
      </c>
      <c r="D143" s="132">
        <f>D127-D139-D142</f>
        <v>36.708057746175285</v>
      </c>
      <c r="E143" s="132">
        <f>E127-E139-E142</f>
        <v>22.514411375691434</v>
      </c>
      <c r="F143" s="132">
        <f>F127-F139-F142</f>
        <v>4.1702601196968452</v>
      </c>
      <c r="G143" s="132">
        <f>G127-G139-G142</f>
        <v>0</v>
      </c>
    </row>
    <row r="144" spans="1:7" x14ac:dyDescent="0.25">
      <c r="A144" s="131" t="s">
        <v>595</v>
      </c>
      <c r="C144" s="132">
        <f>C140-C142</f>
        <v>9.9742922595000003</v>
      </c>
      <c r="D144" s="132">
        <f>D140-D142</f>
        <v>11.278115158441576</v>
      </c>
      <c r="E144" s="132">
        <f>E140-E142</f>
        <v>12.552762123494617</v>
      </c>
      <c r="F144" s="132">
        <f>F140-F142</f>
        <v>13.936263751998197</v>
      </c>
      <c r="G144" s="132">
        <f>G140-G142</f>
        <v>34.114405363636656</v>
      </c>
    </row>
    <row r="145" spans="1:9" x14ac:dyDescent="0.25">
      <c r="A145" s="121" t="s">
        <v>596</v>
      </c>
      <c r="B145" s="122"/>
      <c r="C145" s="122"/>
      <c r="D145" s="122"/>
      <c r="E145" s="122"/>
      <c r="F145" s="122"/>
      <c r="G145" s="122"/>
      <c r="H145" s="122"/>
      <c r="I145" s="122"/>
    </row>
    <row r="146" spans="1:9" x14ac:dyDescent="0.25">
      <c r="A146" s="123" t="s">
        <v>597</v>
      </c>
      <c r="C146" s="130">
        <f>G121*$B$36</f>
        <v>542.29348542545267</v>
      </c>
    </row>
    <row r="147" spans="1:9" x14ac:dyDescent="0.25">
      <c r="A147" s="123" t="s">
        <v>598</v>
      </c>
      <c r="C147" s="130">
        <f>C146-G143+G144</f>
        <v>576.40789078908938</v>
      </c>
    </row>
    <row r="148" spans="1:9" x14ac:dyDescent="0.25">
      <c r="A148" s="123" t="s">
        <v>599</v>
      </c>
      <c r="C148" s="130">
        <f>C147*(1-C74)</f>
        <v>494.69315450898438</v>
      </c>
    </row>
    <row r="149" spans="1:9" x14ac:dyDescent="0.25">
      <c r="A149" s="123" t="s">
        <v>600</v>
      </c>
      <c r="C149" s="130">
        <f>C66</f>
        <v>179.30344500000004</v>
      </c>
    </row>
    <row r="150" spans="1:9" x14ac:dyDescent="0.25">
      <c r="A150" s="131" t="s">
        <v>601</v>
      </c>
      <c r="C150" s="135">
        <f>(C148/C149)^(1/5)-1</f>
        <v>0.22503769786231054</v>
      </c>
      <c r="I150" s="118" t="s">
        <v>602</v>
      </c>
    </row>
    <row r="151" spans="1:9" x14ac:dyDescent="0.25">
      <c r="A151" s="123" t="s">
        <v>603</v>
      </c>
      <c r="C151" s="136">
        <f>C148/C149</f>
        <v>2.7589718340826317</v>
      </c>
    </row>
    <row r="156" spans="1:9" x14ac:dyDescent="0.25">
      <c r="A156" s="119" t="s">
        <v>605</v>
      </c>
      <c r="B156" s="120"/>
      <c r="C156" s="120"/>
      <c r="D156" s="120"/>
      <c r="E156" s="120"/>
      <c r="F156" s="120"/>
      <c r="G156" s="120"/>
      <c r="H156" s="120"/>
      <c r="I156" s="120"/>
    </row>
    <row r="157" spans="1:9" x14ac:dyDescent="0.25">
      <c r="A157" s="121" t="s">
        <v>570</v>
      </c>
      <c r="B157" s="121"/>
      <c r="C157" s="121" t="s">
        <v>9</v>
      </c>
      <c r="D157" s="121" t="s">
        <v>10</v>
      </c>
      <c r="E157" s="121" t="s">
        <v>11</v>
      </c>
      <c r="F157" s="121" t="s">
        <v>12</v>
      </c>
      <c r="G157" s="121" t="s">
        <v>13</v>
      </c>
      <c r="H157" s="122"/>
      <c r="I157" s="122"/>
    </row>
    <row r="158" spans="1:9" x14ac:dyDescent="0.25">
      <c r="A158" s="123" t="s">
        <v>571</v>
      </c>
      <c r="C158" s="127">
        <f>DCF!D7</f>
        <v>74.313359999999989</v>
      </c>
      <c r="D158" s="127">
        <f>DCF!G7</f>
        <v>87.689764799999978</v>
      </c>
      <c r="E158" s="127">
        <f>DCF!J7</f>
        <v>101.72012716799996</v>
      </c>
      <c r="F158" s="127">
        <f>DCF!M7</f>
        <v>115.96094497151996</v>
      </c>
      <c r="G158" s="127">
        <f>DCF!P7</f>
        <v>129.87625836810238</v>
      </c>
    </row>
    <row r="159" spans="1:9" x14ac:dyDescent="0.25">
      <c r="A159" s="123" t="s">
        <v>572</v>
      </c>
      <c r="C159" s="127">
        <f>DCF!D12</f>
        <v>18.157647199999996</v>
      </c>
      <c r="D159" s="127">
        <f>DCF!G12</f>
        <v>23.742372191999991</v>
      </c>
      <c r="E159" s="127">
        <f>DCF!J12</f>
        <v>30.228115998079986</v>
      </c>
      <c r="F159" s="127">
        <f>DCF!M12</f>
        <v>37.523191488921583</v>
      </c>
      <c r="G159" s="127">
        <f>DCF!P12</f>
        <v>45.456690428835834</v>
      </c>
    </row>
    <row r="160" spans="1:9" x14ac:dyDescent="0.25">
      <c r="A160" s="123" t="s">
        <v>573</v>
      </c>
      <c r="C160" s="127">
        <f>DCF!D13</f>
        <v>1.4862671999999999</v>
      </c>
      <c r="D160" s="127">
        <f>DCF!G13</f>
        <v>1.7537952959999996</v>
      </c>
      <c r="E160" s="127">
        <f>DCF!J13</f>
        <v>2.0344025433599993</v>
      </c>
      <c r="F160" s="127">
        <f>DCF!M13</f>
        <v>2.3192188994303993</v>
      </c>
      <c r="G160" s="127">
        <f>DCF!P13</f>
        <v>2.5975251673620479</v>
      </c>
    </row>
    <row r="161" spans="1:9" x14ac:dyDescent="0.25">
      <c r="A161" s="123" t="s">
        <v>574</v>
      </c>
      <c r="C161" s="127">
        <f>DCF!D14</f>
        <v>16.671379999999996</v>
      </c>
      <c r="D161" s="127">
        <f>DCF!G14</f>
        <v>21.988576895999991</v>
      </c>
      <c r="E161" s="127">
        <f>DCF!J14</f>
        <v>28.193713454719987</v>
      </c>
      <c r="F161" s="127">
        <f>DCF!M14</f>
        <v>35.203972589491187</v>
      </c>
      <c r="G161" s="127">
        <f>DCF!P14</f>
        <v>42.859165261473784</v>
      </c>
    </row>
    <row r="162" spans="1:9" x14ac:dyDescent="0.25">
      <c r="A162" s="123" t="s">
        <v>575</v>
      </c>
      <c r="C162" s="127">
        <f>DCF!D19</f>
        <v>-1.8578339999999998</v>
      </c>
      <c r="D162" s="127">
        <f>DCF!G19</f>
        <v>-2.1922441199999994</v>
      </c>
      <c r="E162" s="127">
        <f>DCF!J19</f>
        <v>-2.5430031791999994</v>
      </c>
      <c r="F162" s="127">
        <f>DCF!M19</f>
        <v>-2.8990236242879992</v>
      </c>
      <c r="G162" s="127">
        <f>DCF!P19</f>
        <v>-3.2469064592025596</v>
      </c>
    </row>
    <row r="163" spans="1:9" x14ac:dyDescent="0.25">
      <c r="A163" s="123" t="s">
        <v>576</v>
      </c>
      <c r="C163" s="127">
        <f>DCF!D20</f>
        <v>-0.64486799999999966</v>
      </c>
      <c r="D163" s="127">
        <f>DCF!G20</f>
        <v>-0.66882023999999951</v>
      </c>
      <c r="E163" s="127">
        <f>DCF!J20</f>
        <v>-0.70151811839999922</v>
      </c>
      <c r="F163" s="127">
        <f>DCF!M20</f>
        <v>-0.71204089017600014</v>
      </c>
      <c r="G163" s="127">
        <f>DCF!P20</f>
        <v>-0.69576566982912103</v>
      </c>
    </row>
    <row r="164" spans="1:9" x14ac:dyDescent="0.25">
      <c r="A164" s="121" t="s">
        <v>577</v>
      </c>
      <c r="B164" s="122"/>
      <c r="C164" s="122"/>
      <c r="D164" s="122"/>
      <c r="E164" s="122"/>
      <c r="F164" s="122"/>
      <c r="G164" s="122"/>
      <c r="H164" s="122"/>
      <c r="I164" s="122"/>
    </row>
    <row r="165" spans="1:9" x14ac:dyDescent="0.25">
      <c r="A165" s="123" t="s">
        <v>578</v>
      </c>
      <c r="C165" s="130">
        <f>$B$27</f>
        <v>53.536000000000001</v>
      </c>
      <c r="D165" s="130">
        <f>C181</f>
        <v>46.368260047230009</v>
      </c>
      <c r="E165" s="130">
        <f>D181</f>
        <v>34.366902842356303</v>
      </c>
      <c r="F165" s="130">
        <f>E181</f>
        <v>17.304045505012255</v>
      </c>
      <c r="G165" s="130">
        <f>F181</f>
        <v>0</v>
      </c>
    </row>
    <row r="166" spans="1:9" x14ac:dyDescent="0.25">
      <c r="A166" s="123" t="s">
        <v>579</v>
      </c>
      <c r="C166" s="130">
        <f>C165*$B$25</f>
        <v>3.8347836800000001</v>
      </c>
      <c r="D166" s="130">
        <f>D165*$B$25</f>
        <v>3.3213584671830856</v>
      </c>
      <c r="E166" s="130">
        <f>E165*$B$25</f>
        <v>2.4617012505979821</v>
      </c>
      <c r="F166" s="130">
        <f>F165*$B$25</f>
        <v>1.2394887795240277</v>
      </c>
      <c r="G166" s="130">
        <f>G165*$B$25</f>
        <v>0</v>
      </c>
    </row>
    <row r="167" spans="1:9" x14ac:dyDescent="0.25">
      <c r="A167" s="123" t="s">
        <v>580</v>
      </c>
      <c r="C167" s="130">
        <f>$B$33</f>
        <v>7.4999999999999997E-2</v>
      </c>
      <c r="D167" s="130">
        <f>$B$33</f>
        <v>7.4999999999999997E-2</v>
      </c>
      <c r="E167" s="130">
        <f>$B$33</f>
        <v>7.4999999999999997E-2</v>
      </c>
      <c r="F167" s="130">
        <f>$B$33</f>
        <v>7.4999999999999997E-2</v>
      </c>
      <c r="G167" s="130">
        <f>$B$33</f>
        <v>7.4999999999999997E-2</v>
      </c>
    </row>
    <row r="168" spans="1:9" x14ac:dyDescent="0.25">
      <c r="A168" s="123" t="s">
        <v>581</v>
      </c>
      <c r="C168" s="130">
        <f>C166+C167</f>
        <v>3.9097836800000003</v>
      </c>
      <c r="D168" s="130">
        <f>D166+D167</f>
        <v>3.3963584671830858</v>
      </c>
      <c r="E168" s="130">
        <f>E166+E167</f>
        <v>2.5367012505979822</v>
      </c>
      <c r="F168" s="130">
        <f>F166+F167</f>
        <v>1.3144887795240277</v>
      </c>
      <c r="G168" s="130">
        <f>G166+G167</f>
        <v>7.4999999999999997E-2</v>
      </c>
    </row>
    <row r="169" spans="1:9" x14ac:dyDescent="0.25">
      <c r="A169" s="123" t="s">
        <v>582</v>
      </c>
      <c r="C169" s="130">
        <f>MAX(3,0.3*C159)</f>
        <v>5.4472941599999984</v>
      </c>
      <c r="D169" s="130">
        <f>MAX(3,0.3*D159)</f>
        <v>7.1227116575999974</v>
      </c>
      <c r="E169" s="130">
        <f>MAX(3,0.3*E159)</f>
        <v>9.0684347994239953</v>
      </c>
      <c r="F169" s="130">
        <f>MAX(3,0.3*F159)</f>
        <v>11.256957446676475</v>
      </c>
      <c r="G169" s="130">
        <f>MAX(3,0.3*G159)</f>
        <v>13.637007128650749</v>
      </c>
    </row>
    <row r="170" spans="1:9" x14ac:dyDescent="0.25">
      <c r="A170" s="123" t="s">
        <v>583</v>
      </c>
      <c r="C170" s="130">
        <f>MIN(C168,C169)</f>
        <v>3.9097836800000003</v>
      </c>
      <c r="D170" s="130">
        <f>MIN(D168,D169)</f>
        <v>3.3963584671830858</v>
      </c>
      <c r="E170" s="130">
        <f>MIN(E168,E169)</f>
        <v>2.5367012505979822</v>
      </c>
      <c r="F170" s="130">
        <f>MIN(F168,F169)</f>
        <v>1.3144887795240277</v>
      </c>
      <c r="G170" s="130">
        <f>MIN(G168,G169)</f>
        <v>7.4999999999999997E-2</v>
      </c>
    </row>
    <row r="171" spans="1:9" x14ac:dyDescent="0.25">
      <c r="A171" s="123" t="s">
        <v>584</v>
      </c>
      <c r="C171" s="130">
        <f>0+C168-C170</f>
        <v>0</v>
      </c>
      <c r="D171" s="130">
        <f>C171+D168-D170</f>
        <v>0</v>
      </c>
      <c r="E171" s="130">
        <f>D171+E168-E170</f>
        <v>0</v>
      </c>
      <c r="F171" s="130">
        <f>E171+F168-F170</f>
        <v>0</v>
      </c>
      <c r="G171" s="130">
        <f>F171+G168-G170</f>
        <v>0</v>
      </c>
    </row>
    <row r="172" spans="1:9" x14ac:dyDescent="0.25">
      <c r="A172" s="123" t="s">
        <v>585</v>
      </c>
      <c r="C172" s="130">
        <f>C161-$B$40-C170</f>
        <v>9.2615963199999953</v>
      </c>
      <c r="D172" s="130">
        <f>D161-$B$40-D170</f>
        <v>15.092218428816905</v>
      </c>
      <c r="E172" s="130">
        <f>E161-$B$40-E170</f>
        <v>22.157012204122005</v>
      </c>
      <c r="F172" s="130">
        <f>F161-$B$40-F170</f>
        <v>30.38948380996716</v>
      </c>
      <c r="G172" s="130">
        <f>G161-$B$40-G170</f>
        <v>39.284165261473781</v>
      </c>
    </row>
    <row r="173" spans="1:9" x14ac:dyDescent="0.25">
      <c r="A173" s="123" t="s">
        <v>586</v>
      </c>
      <c r="C173" s="130">
        <f>MAX(0,$B$37*C172)</f>
        <v>2.3153990799999988</v>
      </c>
      <c r="D173" s="130">
        <f>MAX(0,$B$37*D172)</f>
        <v>3.7730546072042261</v>
      </c>
      <c r="E173" s="130">
        <f>MAX(0,$B$37*E172)</f>
        <v>5.5392530510305011</v>
      </c>
      <c r="F173" s="130">
        <f>MAX(0,$B$37*F172)</f>
        <v>7.5973709524917901</v>
      </c>
      <c r="G173" s="130">
        <f>MAX(0,$B$37*G172)</f>
        <v>9.8210413153684453</v>
      </c>
    </row>
    <row r="174" spans="1:9" x14ac:dyDescent="0.25">
      <c r="A174" s="123" t="s">
        <v>587</v>
      </c>
      <c r="C174" s="130">
        <f>$B$38*MAX(0,C173-$B$39)</f>
        <v>5.1229169639999968E-2</v>
      </c>
      <c r="D174" s="130">
        <f>$B$38*MAX(0,D173-$B$39)</f>
        <v>9.9331802037739475E-2</v>
      </c>
      <c r="E174" s="130">
        <f>$B$38*MAX(0,E173-$B$39)</f>
        <v>0.15761635068400656</v>
      </c>
      <c r="F174" s="130">
        <f>$B$38*MAX(0,F173-$B$39)</f>
        <v>0.22553424143222908</v>
      </c>
      <c r="G174" s="130">
        <f>$B$38*MAX(0,G173-$B$39)</f>
        <v>0.29891536340715869</v>
      </c>
    </row>
    <row r="175" spans="1:9" x14ac:dyDescent="0.25">
      <c r="A175" s="123" t="s">
        <v>588</v>
      </c>
      <c r="C175" s="130">
        <f>MAX(0,C173+C174)</f>
        <v>2.3666282496399988</v>
      </c>
      <c r="D175" s="130">
        <f>MAX(0,D173+D174)</f>
        <v>3.8723864092419658</v>
      </c>
      <c r="E175" s="130">
        <f>MAX(0,E173+E174)</f>
        <v>5.6968694017145074</v>
      </c>
      <c r="F175" s="130">
        <f>MAX(0,F173+F174)</f>
        <v>7.8229051939240195</v>
      </c>
      <c r="G175" s="130">
        <f>MAX(0,G173+G174)</f>
        <v>10.119956678775605</v>
      </c>
    </row>
    <row r="176" spans="1:9" x14ac:dyDescent="0.25">
      <c r="A176" s="131" t="s">
        <v>589</v>
      </c>
      <c r="C176" s="132">
        <f>C161-C168-C175</f>
        <v>10.394968070359997</v>
      </c>
      <c r="D176" s="132">
        <f>D161-D168-D175</f>
        <v>14.719832019574941</v>
      </c>
      <c r="E176" s="132">
        <f>E161-E168-E175</f>
        <v>19.960142802407496</v>
      </c>
      <c r="F176" s="132">
        <f>F161-F168-F175</f>
        <v>26.066578616043142</v>
      </c>
      <c r="G176" s="132">
        <f>G161-G168-G175</f>
        <v>32.66420858269818</v>
      </c>
    </row>
    <row r="177" spans="1:9" x14ac:dyDescent="0.25">
      <c r="A177" s="123" t="s">
        <v>590</v>
      </c>
      <c r="C177" s="130">
        <f>MIN($B$28*$B$27,C165)</f>
        <v>0.53536000000000006</v>
      </c>
      <c r="D177" s="130">
        <f>MIN($B$28*$B$27,D165)</f>
        <v>0.53536000000000006</v>
      </c>
      <c r="E177" s="130">
        <f>MIN($B$28*$B$27,E165)</f>
        <v>0.53536000000000006</v>
      </c>
      <c r="F177" s="130">
        <f>MIN($B$28*$B$27,F165)</f>
        <v>0.53536000000000006</v>
      </c>
      <c r="G177" s="130">
        <f>MIN($B$28*$B$27,G165)</f>
        <v>0</v>
      </c>
    </row>
    <row r="178" spans="1:9" x14ac:dyDescent="0.25">
      <c r="A178" s="123" t="s">
        <v>591</v>
      </c>
      <c r="C178" s="130">
        <f>$B$30+C176+C160+C162+C163-C177</f>
        <v>16.843173270359998</v>
      </c>
      <c r="D178" s="130">
        <f>C182+D176+D160+D162+D163-D177</f>
        <v>23.287996273164943</v>
      </c>
      <c r="E178" s="130">
        <f>D182+E176+E160+E162+E163-E177</f>
        <v>30.036663116458733</v>
      </c>
      <c r="F178" s="130">
        <f>E182+F176+F160+F162+F163-F177</f>
        <v>37.748538780124228</v>
      </c>
      <c r="G178" s="130">
        <f>F182+G176+G160+G162+G163-G177</f>
        <v>52.298914896140523</v>
      </c>
    </row>
    <row r="179" spans="1:9" x14ac:dyDescent="0.25">
      <c r="A179" s="123" t="s">
        <v>592</v>
      </c>
      <c r="C179" s="130">
        <f>MAX(0,C178-$B$30)</f>
        <v>8.8431732703599977</v>
      </c>
      <c r="D179" s="130">
        <f>MAX(0,D178-$B$30)</f>
        <v>15.287996273164943</v>
      </c>
      <c r="E179" s="130">
        <f>MAX(0,E178-$B$30)</f>
        <v>22.036663116458733</v>
      </c>
      <c r="F179" s="130">
        <f>MAX(0,F178-$B$30)</f>
        <v>29.748538780124228</v>
      </c>
      <c r="G179" s="130">
        <f>MAX(0,G178-$B$30)</f>
        <v>44.298914896140523</v>
      </c>
    </row>
    <row r="180" spans="1:9" x14ac:dyDescent="0.25">
      <c r="A180" s="123" t="s">
        <v>593</v>
      </c>
      <c r="C180" s="130">
        <f>MIN($B$29*C179,C165-C177)</f>
        <v>6.6323799527699983</v>
      </c>
      <c r="D180" s="130">
        <f>MIN($B$29*D179,D165-D177)</f>
        <v>11.465997204873707</v>
      </c>
      <c r="E180" s="130">
        <f>MIN($B$29*E179,E165-E177)</f>
        <v>16.527497337344052</v>
      </c>
      <c r="F180" s="130">
        <f>MIN($B$29*F179,F165-F177)</f>
        <v>16.768685505012254</v>
      </c>
      <c r="G180" s="130">
        <f>MIN($B$29*G179,G165-G177)</f>
        <v>0</v>
      </c>
    </row>
    <row r="181" spans="1:9" x14ac:dyDescent="0.25">
      <c r="A181" s="131" t="s">
        <v>594</v>
      </c>
      <c r="C181" s="132">
        <f>C165-C177-C180</f>
        <v>46.368260047230009</v>
      </c>
      <c r="D181" s="132">
        <f>D165-D177-D180</f>
        <v>34.366902842356303</v>
      </c>
      <c r="E181" s="132">
        <f>E165-E177-E180</f>
        <v>17.304045505012255</v>
      </c>
      <c r="F181" s="132">
        <f>F165-F177-F180</f>
        <v>0</v>
      </c>
      <c r="G181" s="132">
        <f>G165-G177-G180</f>
        <v>0</v>
      </c>
    </row>
    <row r="182" spans="1:9" x14ac:dyDescent="0.25">
      <c r="A182" s="131" t="s">
        <v>595</v>
      </c>
      <c r="C182" s="132">
        <f>C178-C180</f>
        <v>10.210793317589999</v>
      </c>
      <c r="D182" s="132">
        <f>D178-D180</f>
        <v>11.821999068291236</v>
      </c>
      <c r="E182" s="132">
        <f>E178-E180</f>
        <v>13.509165779114682</v>
      </c>
      <c r="F182" s="132">
        <f>F178-F180</f>
        <v>20.979853275111974</v>
      </c>
      <c r="G182" s="132">
        <f>G178-G180</f>
        <v>52.298914896140523</v>
      </c>
    </row>
    <row r="183" spans="1:9" x14ac:dyDescent="0.25">
      <c r="A183" s="121" t="s">
        <v>596</v>
      </c>
      <c r="B183" s="122"/>
      <c r="C183" s="122"/>
      <c r="D183" s="122"/>
      <c r="E183" s="122"/>
      <c r="F183" s="122"/>
      <c r="G183" s="122"/>
      <c r="H183" s="122"/>
      <c r="I183" s="122"/>
    </row>
    <row r="184" spans="1:9" x14ac:dyDescent="0.25">
      <c r="A184" s="123" t="s">
        <v>597</v>
      </c>
      <c r="C184" s="130">
        <f>G159*$B$36</f>
        <v>681.85035643253752</v>
      </c>
    </row>
    <row r="185" spans="1:9" x14ac:dyDescent="0.25">
      <c r="A185" s="123" t="s">
        <v>598</v>
      </c>
      <c r="C185" s="130">
        <f>C184-G181+G182</f>
        <v>734.14927132867808</v>
      </c>
    </row>
    <row r="186" spans="1:9" x14ac:dyDescent="0.25">
      <c r="A186" s="123" t="s">
        <v>599</v>
      </c>
      <c r="C186" s="130">
        <f>C185*(1-D74)</f>
        <v>633.18454451850755</v>
      </c>
    </row>
    <row r="187" spans="1:9" x14ac:dyDescent="0.25">
      <c r="A187" s="123" t="s">
        <v>600</v>
      </c>
      <c r="C187" s="130">
        <f>D66</f>
        <v>229.578945</v>
      </c>
    </row>
    <row r="188" spans="1:9" x14ac:dyDescent="0.25">
      <c r="A188" s="131" t="s">
        <v>601</v>
      </c>
      <c r="C188" s="135">
        <f>(C186/C187)^(1/5)-1</f>
        <v>0.22495363264703361</v>
      </c>
      <c r="I188" s="118" t="s">
        <v>602</v>
      </c>
    </row>
    <row r="189" spans="1:9" x14ac:dyDescent="0.25">
      <c r="A189" s="123" t="s">
        <v>603</v>
      </c>
      <c r="C189" s="136">
        <f>C186/C187</f>
        <v>2.7580253255302116</v>
      </c>
    </row>
    <row r="196" spans="1:9" x14ac:dyDescent="0.25">
      <c r="A196" s="119" t="s">
        <v>606</v>
      </c>
      <c r="B196" s="120"/>
      <c r="C196" s="120"/>
      <c r="D196" s="120"/>
      <c r="E196" s="120"/>
      <c r="F196" s="120"/>
      <c r="G196" s="120"/>
      <c r="H196" s="120"/>
      <c r="I196" s="120"/>
    </row>
    <row r="197" spans="1:9" x14ac:dyDescent="0.25">
      <c r="A197" s="121" t="s">
        <v>607</v>
      </c>
      <c r="B197" s="121" t="s">
        <v>469</v>
      </c>
      <c r="C197" s="121" t="s">
        <v>470</v>
      </c>
      <c r="D197" s="121" t="s">
        <v>471</v>
      </c>
      <c r="E197" s="122"/>
      <c r="F197" s="122"/>
      <c r="G197" s="122"/>
      <c r="H197" s="122"/>
      <c r="I197" s="118" t="s">
        <v>608</v>
      </c>
    </row>
    <row r="198" spans="1:9" x14ac:dyDescent="0.25">
      <c r="A198" s="123" t="s">
        <v>101</v>
      </c>
      <c r="B198" s="128">
        <v>196.5</v>
      </c>
      <c r="C198" s="128">
        <v>169.7</v>
      </c>
      <c r="D198" s="128">
        <v>157.19999999999999</v>
      </c>
    </row>
    <row r="199" spans="1:9" x14ac:dyDescent="0.25">
      <c r="A199" s="123" t="s">
        <v>102</v>
      </c>
      <c r="B199" s="128">
        <v>283.5</v>
      </c>
      <c r="C199" s="128">
        <v>241.9</v>
      </c>
      <c r="D199" s="128">
        <v>222.5</v>
      </c>
    </row>
    <row r="200" spans="1:9" x14ac:dyDescent="0.25">
      <c r="A200" s="123" t="s">
        <v>103</v>
      </c>
      <c r="B200" s="128">
        <v>350.2</v>
      </c>
      <c r="C200" s="128">
        <v>297.3</v>
      </c>
      <c r="D200" s="128">
        <v>272.5</v>
      </c>
    </row>
    <row r="203" spans="1:9" x14ac:dyDescent="0.25">
      <c r="A203" s="119" t="s">
        <v>609</v>
      </c>
      <c r="B203" s="120"/>
      <c r="C203" s="120"/>
      <c r="D203" s="120"/>
      <c r="E203" s="120"/>
      <c r="F203" s="120"/>
      <c r="G203" s="120"/>
      <c r="H203" s="120"/>
      <c r="I203" s="120"/>
    </row>
    <row r="204" spans="1:9" x14ac:dyDescent="0.25">
      <c r="A204" s="121" t="s">
        <v>610</v>
      </c>
      <c r="B204" s="122"/>
      <c r="C204" s="122"/>
      <c r="D204" s="122"/>
      <c r="E204" s="122"/>
      <c r="F204" s="122"/>
      <c r="G204" s="122"/>
      <c r="H204" s="122"/>
      <c r="I204" s="122"/>
    </row>
    <row r="205" spans="1:9" x14ac:dyDescent="0.25">
      <c r="A205" s="121" t="s">
        <v>611</v>
      </c>
      <c r="B205" s="121" t="s">
        <v>612</v>
      </c>
      <c r="C205" s="121" t="s">
        <v>613</v>
      </c>
      <c r="D205" s="121" t="s">
        <v>614</v>
      </c>
      <c r="E205" s="121" t="s">
        <v>615</v>
      </c>
      <c r="F205" s="121" t="s">
        <v>616</v>
      </c>
      <c r="G205" s="122"/>
      <c r="H205" s="122"/>
      <c r="I205" s="122"/>
    </row>
    <row r="206" spans="1:9" x14ac:dyDescent="0.25">
      <c r="A206" s="130">
        <v>250</v>
      </c>
      <c r="B206" s="137">
        <v>0.1658175650819467</v>
      </c>
      <c r="C206" s="137">
        <v>0.18329915355335949</v>
      </c>
      <c r="D206" s="137">
        <v>0.21544927042627801</v>
      </c>
      <c r="E206" s="137">
        <v>0.2445188134322096</v>
      </c>
      <c r="F206" s="137">
        <v>0.27110156747905417</v>
      </c>
      <c r="I206" s="118" t="s">
        <v>617</v>
      </c>
    </row>
    <row r="207" spans="1:9" x14ac:dyDescent="0.25">
      <c r="A207" s="130">
        <v>275</v>
      </c>
      <c r="B207" s="137">
        <v>0.13991007305555159</v>
      </c>
      <c r="C207" s="137">
        <v>0.1570031752599044</v>
      </c>
      <c r="D207" s="137">
        <v>0.1884388330943931</v>
      </c>
      <c r="E207" s="137">
        <v>0.21686237540845471</v>
      </c>
      <c r="F207" s="137">
        <v>0.24285439166824291</v>
      </c>
    </row>
    <row r="208" spans="1:9" x14ac:dyDescent="0.25">
      <c r="A208" s="130">
        <v>300</v>
      </c>
      <c r="B208" s="137">
        <v>0.11711132812578651</v>
      </c>
      <c r="C208" s="137">
        <v>0.13386256013666789</v>
      </c>
      <c r="D208" s="141">
        <v>0.16466948982706131</v>
      </c>
      <c r="E208" s="137">
        <v>0.1925245477435058</v>
      </c>
      <c r="F208" s="137">
        <v>0.21799671128602749</v>
      </c>
    </row>
    <row r="209" spans="1:9" x14ac:dyDescent="0.25">
      <c r="A209" s="130">
        <v>325</v>
      </c>
      <c r="B209" s="137">
        <v>9.6799663409649517E-2</v>
      </c>
      <c r="C209" s="137">
        <v>0.1132463193235738</v>
      </c>
      <c r="D209" s="137">
        <v>0.14349310786146921</v>
      </c>
      <c r="E209" s="137">
        <v>0.17084169647373379</v>
      </c>
      <c r="F209" s="137">
        <v>0.19585071723679909</v>
      </c>
    </row>
    <row r="210" spans="1:9" x14ac:dyDescent="0.25">
      <c r="A210" s="130">
        <v>350</v>
      </c>
      <c r="B210" s="137">
        <v>7.8519152476853149E-2</v>
      </c>
      <c r="C210" s="137">
        <v>9.469168971325348E-2</v>
      </c>
      <c r="D210" s="137">
        <v>0.1244343508639922</v>
      </c>
      <c r="E210" s="137">
        <v>0.1513271167861141</v>
      </c>
      <c r="F210" s="137">
        <v>0.17591930875835299</v>
      </c>
    </row>
    <row r="212" spans="1:9" x14ac:dyDescent="0.25">
      <c r="A212" s="121" t="s">
        <v>618</v>
      </c>
      <c r="B212" s="122"/>
      <c r="C212" s="122"/>
      <c r="D212" s="122"/>
      <c r="E212" s="122"/>
      <c r="F212" s="122"/>
      <c r="G212" s="122"/>
      <c r="H212" s="122"/>
      <c r="I212" s="122"/>
    </row>
    <row r="213" spans="1:9" x14ac:dyDescent="0.25">
      <c r="A213" s="121" t="s">
        <v>619</v>
      </c>
      <c r="B213" s="121" t="s">
        <v>612</v>
      </c>
      <c r="C213" s="121" t="s">
        <v>613</v>
      </c>
      <c r="D213" s="121" t="s">
        <v>614</v>
      </c>
      <c r="E213" s="121" t="s">
        <v>615</v>
      </c>
      <c r="F213" s="121" t="s">
        <v>616</v>
      </c>
      <c r="G213" s="122"/>
      <c r="H213" s="122"/>
      <c r="I213" s="122"/>
    </row>
    <row r="214" spans="1:9" x14ac:dyDescent="0.25">
      <c r="A214" s="123" t="s">
        <v>620</v>
      </c>
      <c r="B214" s="137">
        <v>0.1145288791638157</v>
      </c>
      <c r="C214" s="137">
        <v>0.13068361288705499</v>
      </c>
      <c r="D214" s="137">
        <v>0.1604715064453994</v>
      </c>
      <c r="E214" s="137">
        <v>0.18748194884337521</v>
      </c>
      <c r="F214" s="137">
        <v>0.21223737156791561</v>
      </c>
      <c r="I214" s="118" t="s">
        <v>621</v>
      </c>
    </row>
    <row r="215" spans="1:9" x14ac:dyDescent="0.25">
      <c r="A215" s="123" t="s">
        <v>622</v>
      </c>
      <c r="B215" s="137">
        <v>0.1158470645624543</v>
      </c>
      <c r="C215" s="137">
        <v>0.132291665711779</v>
      </c>
      <c r="D215" s="137">
        <v>0.1625754958627357</v>
      </c>
      <c r="E215" s="137">
        <v>0.18999765813062169</v>
      </c>
      <c r="F215" s="137">
        <v>0.2151029136101181</v>
      </c>
    </row>
    <row r="216" spans="1:9" x14ac:dyDescent="0.25">
      <c r="A216" s="123" t="s">
        <v>623</v>
      </c>
      <c r="B216" s="137">
        <v>0.11711132812578651</v>
      </c>
      <c r="C216" s="137">
        <v>0.13386256013666789</v>
      </c>
      <c r="D216" s="141">
        <v>0.16466948982706131</v>
      </c>
      <c r="E216" s="137">
        <v>0.1925245477435058</v>
      </c>
      <c r="F216" s="137">
        <v>0.21799671128602749</v>
      </c>
    </row>
    <row r="217" spans="1:9" x14ac:dyDescent="0.25">
      <c r="A217" s="123" t="s">
        <v>624</v>
      </c>
      <c r="B217" s="137">
        <v>0.1183258062810979</v>
      </c>
      <c r="C217" s="137">
        <v>0.13540127531750709</v>
      </c>
      <c r="D217" s="137">
        <v>0.16675967738857439</v>
      </c>
      <c r="E217" s="137">
        <v>0.19506961997528879</v>
      </c>
      <c r="F217" s="137">
        <v>0.22092634364409799</v>
      </c>
    </row>
    <row r="218" spans="1:9" x14ac:dyDescent="0.25">
      <c r="A218" s="123" t="s">
        <v>625</v>
      </c>
      <c r="B218" s="137">
        <v>0.1195898410241119</v>
      </c>
      <c r="C218" s="137">
        <v>0.1370023771891786</v>
      </c>
      <c r="D218" s="137">
        <v>0.16893255794117329</v>
      </c>
      <c r="E218" s="137">
        <v>0.19771282999543199</v>
      </c>
      <c r="F218" s="137">
        <v>0.2239663523282118</v>
      </c>
    </row>
    <row r="220" spans="1:9" x14ac:dyDescent="0.25">
      <c r="A220" s="119" t="s">
        <v>626</v>
      </c>
      <c r="B220" s="120"/>
      <c r="C220" s="120"/>
      <c r="D220" s="120"/>
      <c r="E220" s="120"/>
      <c r="F220" s="120"/>
      <c r="G220" s="120"/>
      <c r="H220" s="120"/>
      <c r="I220" s="120"/>
    </row>
    <row r="221" spans="1:9" x14ac:dyDescent="0.25">
      <c r="A221" s="121" t="s">
        <v>627</v>
      </c>
      <c r="B221" s="121" t="s">
        <v>628</v>
      </c>
      <c r="C221" s="121" t="s">
        <v>629</v>
      </c>
      <c r="D221" s="121" t="s">
        <v>630</v>
      </c>
      <c r="E221" s="122"/>
      <c r="F221" s="122"/>
      <c r="G221" s="122"/>
      <c r="H221" s="122"/>
      <c r="I221" s="122"/>
    </row>
    <row r="222" spans="1:9" x14ac:dyDescent="0.25">
      <c r="A222" s="123" t="s">
        <v>631</v>
      </c>
      <c r="B222" s="137">
        <f>C112</f>
        <v>0.22509032702462251</v>
      </c>
      <c r="C222" s="142">
        <v>0.22509000000000001</v>
      </c>
      <c r="D222" s="143">
        <f t="shared" ref="D222:D227" si="0">B222-C222</f>
        <v>3.2702462249289965E-7</v>
      </c>
      <c r="I222" s="118" t="s">
        <v>632</v>
      </c>
    </row>
    <row r="223" spans="1:9" x14ac:dyDescent="0.25">
      <c r="A223" s="123" t="s">
        <v>633</v>
      </c>
      <c r="B223" s="137">
        <f>C150</f>
        <v>0.22503769786231054</v>
      </c>
      <c r="C223" s="142">
        <v>0.22503799999999999</v>
      </c>
      <c r="D223" s="143">
        <f t="shared" si="0"/>
        <v>-3.0213768945075437E-7</v>
      </c>
    </row>
    <row r="224" spans="1:9" x14ac:dyDescent="0.25">
      <c r="A224" s="123" t="s">
        <v>634</v>
      </c>
      <c r="B224" s="137">
        <f>C188</f>
        <v>0.22495363264703361</v>
      </c>
      <c r="C224" s="142">
        <v>0.22495399999999999</v>
      </c>
      <c r="D224" s="143">
        <f t="shared" si="0"/>
        <v>-3.6735296637946391E-7</v>
      </c>
    </row>
    <row r="225" spans="1:9" x14ac:dyDescent="0.25">
      <c r="A225" s="123" t="s">
        <v>635</v>
      </c>
      <c r="B225" s="130">
        <f>G143</f>
        <v>0</v>
      </c>
      <c r="C225" s="128">
        <v>0</v>
      </c>
      <c r="D225" s="139">
        <f t="shared" si="0"/>
        <v>0</v>
      </c>
    </row>
    <row r="226" spans="1:9" x14ac:dyDescent="0.25">
      <c r="A226" s="123" t="s">
        <v>636</v>
      </c>
      <c r="B226" s="130">
        <f>G144</f>
        <v>34.114405363636656</v>
      </c>
      <c r="C226" s="128">
        <v>34.114404999999998</v>
      </c>
      <c r="D226" s="139">
        <f t="shared" si="0"/>
        <v>3.6363665856242733E-7</v>
      </c>
    </row>
    <row r="227" spans="1:9" x14ac:dyDescent="0.25">
      <c r="A227" s="123" t="s">
        <v>637</v>
      </c>
      <c r="B227" s="130">
        <f>C149</f>
        <v>179.30344500000004</v>
      </c>
      <c r="C227" s="128">
        <v>179.30344500000001</v>
      </c>
      <c r="D227" s="139">
        <f t="shared" si="0"/>
        <v>0</v>
      </c>
    </row>
    <row r="230" spans="1:9" x14ac:dyDescent="0.25">
      <c r="A230" s="119" t="s">
        <v>638</v>
      </c>
      <c r="B230" s="120"/>
      <c r="C230" s="120"/>
      <c r="D230" s="120"/>
      <c r="E230" s="120"/>
      <c r="F230" s="120"/>
      <c r="G230" s="120"/>
      <c r="H230" s="120"/>
      <c r="I230" s="120"/>
    </row>
    <row r="231" spans="1:9" x14ac:dyDescent="0.25">
      <c r="A231" s="144" t="s">
        <v>639</v>
      </c>
    </row>
    <row r="232" spans="1:9" x14ac:dyDescent="0.25">
      <c r="A232" s="118" t="s">
        <v>640</v>
      </c>
    </row>
    <row r="233" spans="1:9" x14ac:dyDescent="0.25">
      <c r="A233" s="118" t="s">
        <v>641</v>
      </c>
    </row>
    <row r="234" spans="1:9" x14ac:dyDescent="0.25">
      <c r="A234" s="118" t="s">
        <v>642</v>
      </c>
    </row>
    <row r="235" spans="1:9" x14ac:dyDescent="0.25">
      <c r="A235" s="118" t="s">
        <v>643</v>
      </c>
    </row>
    <row r="236" spans="1:9" x14ac:dyDescent="0.25">
      <c r="A236" s="118" t="s">
        <v>644</v>
      </c>
    </row>
    <row r="237" spans="1:9" x14ac:dyDescent="0.25">
      <c r="A237" s="118" t="s">
        <v>645</v>
      </c>
    </row>
    <row r="238" spans="1:9" x14ac:dyDescent="0.25">
      <c r="A238" s="118" t="s">
        <v>646</v>
      </c>
    </row>
    <row r="239" spans="1:9" x14ac:dyDescent="0.25">
      <c r="A239" s="118" t="s">
        <v>647</v>
      </c>
    </row>
    <row r="242" spans="1:9" x14ac:dyDescent="0.25">
      <c r="A242" s="119" t="s">
        <v>648</v>
      </c>
      <c r="B242" s="120"/>
      <c r="C242" s="120"/>
      <c r="D242" s="120"/>
      <c r="E242" s="120"/>
      <c r="F242" s="120"/>
      <c r="G242" s="120"/>
      <c r="H242" s="120"/>
      <c r="I242" s="120"/>
    </row>
    <row r="243" spans="1:9" x14ac:dyDescent="0.25">
      <c r="A243" s="118" t="s">
        <v>649</v>
      </c>
    </row>
    <row r="244" spans="1:9" x14ac:dyDescent="0.25">
      <c r="A244" s="118" t="s">
        <v>650</v>
      </c>
    </row>
    <row r="245" spans="1:9" x14ac:dyDescent="0.25">
      <c r="A245" s="118" t="s">
        <v>651</v>
      </c>
    </row>
    <row r="246" spans="1:9" x14ac:dyDescent="0.25">
      <c r="A246" s="118" t="s">
        <v>652</v>
      </c>
    </row>
    <row r="247" spans="1:9" x14ac:dyDescent="0.25">
      <c r="A247" s="118" t="s">
        <v>653</v>
      </c>
    </row>
    <row r="248" spans="1:9" x14ac:dyDescent="0.25">
      <c r="A248" s="118" t="s">
        <v>654</v>
      </c>
    </row>
    <row r="249" spans="1:9" x14ac:dyDescent="0.25">
      <c r="A249" s="118" t="s">
        <v>655</v>
      </c>
    </row>
    <row r="250" spans="1:9" x14ac:dyDescent="0.25">
      <c r="A250" s="118" t="s">
        <v>656</v>
      </c>
    </row>
    <row r="251" spans="1:9" x14ac:dyDescent="0.25">
      <c r="A251" s="118" t="s">
        <v>657</v>
      </c>
    </row>
    <row r="252" spans="1:9" x14ac:dyDescent="0.25">
      <c r="A252" s="118" t="s">
        <v>658</v>
      </c>
    </row>
    <row r="253" spans="1:9" x14ac:dyDescent="0.25">
      <c r="A253" s="118" t="s">
        <v>659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4" customWidth="1"/>
    <col min="2" max="6" width="16" customWidth="1"/>
    <col min="7" max="7" width="35" customWidth="1"/>
  </cols>
  <sheetData>
    <row r="1" spans="1:7" ht="24" customHeight="1" x14ac:dyDescent="0.25">
      <c r="A1" s="193" t="s">
        <v>660</v>
      </c>
      <c r="B1" s="185"/>
      <c r="C1" s="185"/>
      <c r="D1" s="185"/>
      <c r="E1" s="185"/>
      <c r="F1" s="185"/>
      <c r="G1" s="185"/>
    </row>
    <row r="2" spans="1:7" x14ac:dyDescent="0.25">
      <c r="A2" s="14" t="s">
        <v>661</v>
      </c>
    </row>
    <row r="4" spans="1:7" ht="18" customHeight="1" x14ac:dyDescent="0.25">
      <c r="B4" s="2" t="s">
        <v>662</v>
      </c>
      <c r="C4" s="2" t="s">
        <v>663</v>
      </c>
      <c r="D4" s="2" t="s">
        <v>664</v>
      </c>
      <c r="E4" s="2" t="s">
        <v>665</v>
      </c>
      <c r="F4" s="2" t="s">
        <v>666</v>
      </c>
      <c r="G4" s="2" t="s">
        <v>667</v>
      </c>
    </row>
    <row r="5" spans="1:7" x14ac:dyDescent="0.25">
      <c r="A5" s="84" t="s">
        <v>668</v>
      </c>
      <c r="B5" s="85">
        <f>DCF!Q34</f>
        <v>157.92188754137794</v>
      </c>
      <c r="C5" s="85">
        <f>DCF!R34</f>
        <v>301.19452616107958</v>
      </c>
      <c r="D5" s="85">
        <f>DCF!S34</f>
        <v>497.11513516286425</v>
      </c>
      <c r="E5" s="86">
        <f>C5/Inputs!B7</f>
        <v>22.504073980953343</v>
      </c>
      <c r="F5" s="86">
        <f>C5/Inputs!B6</f>
        <v>4.9041703491122766</v>
      </c>
      <c r="G5" s="87" t="s">
        <v>669</v>
      </c>
    </row>
    <row r="6" spans="1:7" x14ac:dyDescent="0.25">
      <c r="A6" s="88" t="s">
        <v>65</v>
      </c>
      <c r="B6" s="89">
        <f>Trading_comps!E26</f>
        <v>171</v>
      </c>
      <c r="C6" s="89">
        <f>Trading_comps!F26</f>
        <v>202</v>
      </c>
      <c r="D6" s="89">
        <f>Trading_comps!G26</f>
        <v>264</v>
      </c>
      <c r="E6" s="90">
        <f>C6/Inputs!B7</f>
        <v>15.092647937836222</v>
      </c>
      <c r="F6" s="90">
        <f>C6/Inputs!B6</f>
        <v>3.2890451999478967</v>
      </c>
      <c r="G6" s="91" t="s">
        <v>670</v>
      </c>
    </row>
    <row r="7" spans="1:7" x14ac:dyDescent="0.25">
      <c r="A7" s="47" t="s">
        <v>671</v>
      </c>
      <c r="B7" s="92">
        <f>Transaction_comps!E27</f>
        <v>289</v>
      </c>
      <c r="C7" s="92">
        <f>Transaction_comps!F27</f>
        <v>411</v>
      </c>
      <c r="D7" s="92">
        <f>Transaction_comps!G27</f>
        <v>547</v>
      </c>
      <c r="E7" s="93">
        <f>C7/Inputs!B7</f>
        <v>30.708308427973698</v>
      </c>
      <c r="F7" s="93">
        <f>C7/Inputs!B6</f>
        <v>6.6920672137553732</v>
      </c>
      <c r="G7" s="94" t="s">
        <v>672</v>
      </c>
    </row>
    <row r="8" spans="1:7" x14ac:dyDescent="0.25">
      <c r="A8" s="71" t="s">
        <v>69</v>
      </c>
      <c r="B8" s="95">
        <f>LBO_full!D199</f>
        <v>222.5</v>
      </c>
      <c r="C8" s="95">
        <f>LBO_full!C199</f>
        <v>241.9</v>
      </c>
      <c r="D8" s="95">
        <f>LBO_full!B199</f>
        <v>283.5</v>
      </c>
      <c r="E8" s="67">
        <f>C8/Inputs!B7</f>
        <v>18.073819485953376</v>
      </c>
      <c r="F8" s="67">
        <f>C8/Inputs!B6</f>
        <v>3.938713038947506</v>
      </c>
      <c r="G8" s="96" t="s">
        <v>673</v>
      </c>
    </row>
    <row r="9" spans="1:7" x14ac:dyDescent="0.25">
      <c r="A9" s="97"/>
      <c r="B9" s="97"/>
      <c r="C9" s="97"/>
      <c r="D9" s="97"/>
      <c r="E9" s="97"/>
      <c r="F9" s="97"/>
      <c r="G9" s="97"/>
    </row>
    <row r="10" spans="1:7" x14ac:dyDescent="0.25">
      <c r="A10" s="196" t="s">
        <v>674</v>
      </c>
      <c r="B10" s="185"/>
      <c r="C10" s="185"/>
      <c r="D10" s="185"/>
      <c r="E10" s="185"/>
      <c r="F10" s="185"/>
      <c r="G10" s="185"/>
    </row>
    <row r="11" spans="1:7" ht="15.6" customHeight="1" x14ac:dyDescent="0.25">
      <c r="A11" s="7" t="s">
        <v>675</v>
      </c>
      <c r="C11" s="98">
        <f>DCF!R34</f>
        <v>301.19452616107958</v>
      </c>
    </row>
    <row r="12" spans="1:7" ht="15.6" customHeight="1" x14ac:dyDescent="0.25">
      <c r="A12" s="7" t="s">
        <v>676</v>
      </c>
      <c r="C12" s="98">
        <f>Transaction_comps!F27</f>
        <v>411</v>
      </c>
    </row>
    <row r="13" spans="1:7" x14ac:dyDescent="0.25">
      <c r="A13" s="9" t="s">
        <v>677</v>
      </c>
      <c r="B13" s="72">
        <f>DCF!Q34</f>
        <v>157.92188754137794</v>
      </c>
      <c r="C13" s="61" t="s">
        <v>678</v>
      </c>
      <c r="D13" s="72">
        <f>Trading_comps!G26</f>
        <v>264</v>
      </c>
    </row>
    <row r="14" spans="1:7" x14ac:dyDescent="0.25">
      <c r="A14" s="145" t="s">
        <v>679</v>
      </c>
      <c r="B14" s="180">
        <f>170*FY25_base!B69/1000000+FY25_base!B49</f>
        <v>275.9083</v>
      </c>
      <c r="C14" s="180">
        <f>174*FY25_base!B69/1000000+FY25_base!B49</f>
        <v>282.05545999999998</v>
      </c>
      <c r="D14" s="180">
        <f>175.2*FY25_base!B69/1000000+FY25_base!B49</f>
        <v>283.899608</v>
      </c>
      <c r="E14" s="173">
        <f>C14/Inputs!B7</f>
        <v>21.074078003586369</v>
      </c>
      <c r="F14" s="173">
        <f>C14/Inputs!B6</f>
        <v>4.59254038035691</v>
      </c>
      <c r="G14" s="155" t="s">
        <v>680</v>
      </c>
    </row>
    <row r="15" spans="1:7" x14ac:dyDescent="0.25">
      <c r="A15" s="99" t="s">
        <v>681</v>
      </c>
    </row>
    <row r="16" spans="1:7" x14ac:dyDescent="0.25">
      <c r="A16" s="100" t="s">
        <v>682</v>
      </c>
      <c r="B16" s="101" t="str">
        <f>REPT("░",ROUND(B5/600*48,0))&amp;REPT("█",MAX(1,ROUND((D5-B5)/600*48,0)))&amp;REPT("░",MAX(0,48-ROUND(B5/600*48,0)-MAX(1,ROUND((D5-B5)/600*48,0))))</f>
        <v>░░░░░░░░░░░░░███████████████████████████░░░░░░░░</v>
      </c>
      <c r="C16" s="102" t="str">
        <f>"Low €"&amp;TEXT(B5,"0")&amp;"m  |  Base €"&amp;TEXT(C5,"0")&amp;"m  |  High €"&amp;TEXT(D5,"0")&amp;"m"</f>
        <v>Low €158m  |  Base €301m  |  High €497m</v>
      </c>
    </row>
    <row r="17" spans="1:3" x14ac:dyDescent="0.25">
      <c r="A17" s="100" t="s">
        <v>683</v>
      </c>
      <c r="B17" s="101" t="str">
        <f>REPT("░",ROUND(B6/600*48,0))&amp;REPT("█",MAX(1,ROUND((D6-B6)/600*48,0)))&amp;REPT("░",MAX(0,48-ROUND(B6/600*48,0)-MAX(1,ROUND((D6-B6)/600*48,0))))</f>
        <v>░░░░░░░░░░░░░░███████░░░░░░░░░░░░░░░░░░░░░░░░░░░</v>
      </c>
      <c r="C17" s="102" t="str">
        <f>"Low €"&amp;TEXT(B6,"0")&amp;"m  |  Base €"&amp;TEXT(C6,"0")&amp;"m  |  High €"&amp;TEXT(D6,"0")&amp;"m"</f>
        <v>Low €171m  |  Base €202m  |  High €264m</v>
      </c>
    </row>
    <row r="18" spans="1:3" x14ac:dyDescent="0.25">
      <c r="A18" s="100" t="s">
        <v>684</v>
      </c>
      <c r="B18" s="101" t="str">
        <f>REPT("░",ROUND(B7/600*48,0))&amp;REPT("█",MAX(1,ROUND((D7-B7)/600*48,0)))&amp;REPT("░",MAX(0,48-ROUND(B7/600*48,0)-MAX(1,ROUND((D7-B7)/600*48,0))))</f>
        <v>░░░░░░░░░░░░░░░░░░░░░░░█████████████████████░░░░</v>
      </c>
      <c r="C18" s="102" t="str">
        <f>"Low €"&amp;TEXT(B7,"0")&amp;"m  |  Base €"&amp;TEXT(C7,"0")&amp;"m  |  High €"&amp;TEXT(D7,"0")&amp;"m"</f>
        <v>Low €289m  |  Base €411m  |  High €547m</v>
      </c>
    </row>
    <row r="19" spans="1:3" x14ac:dyDescent="0.25">
      <c r="A19" s="100" t="s">
        <v>685</v>
      </c>
      <c r="B19" s="101" t="str">
        <f>REPT("░",ROUND(B8/600*48,0))&amp;REPT("█",MAX(1,ROUND((D8-B8)/600*48,0)))&amp;REPT("░",MAX(0,48-ROUND(B8/600*48,0)-MAX(1,ROUND((D8-B8)/600*48,0))))</f>
        <v>░░░░░░░░░░░░░░░░░░█████░░░░░░░░░░░░░░░░░░░░░░░░░</v>
      </c>
      <c r="C19" s="102" t="str">
        <f>"Low €"&amp;TEXT(B8,"0")&amp;"m  |  Base €"&amp;TEXT(C8,"0")&amp;"m  |  High €"&amp;TEXT(D8,"0")&amp;"m"</f>
        <v>Low €223m  |  Base €242m  |  High €284m</v>
      </c>
    </row>
    <row r="20" spans="1:3" x14ac:dyDescent="0.25">
      <c r="B20" s="103" t="s">
        <v>686</v>
      </c>
    </row>
  </sheetData>
  <mergeCells count="2">
    <mergeCell ref="A1:G1"/>
    <mergeCell ref="A10:G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2"/>
  <sheetViews>
    <sheetView zoomScaleNormal="100" workbookViewId="0">
      <pane ySplit="4" topLeftCell="A5" activePane="bottomLeft" state="frozen"/>
      <selection pane="bottomLeft" activeCell="D20" sqref="D20"/>
    </sheetView>
  </sheetViews>
  <sheetFormatPr defaultColWidth="8.7109375" defaultRowHeight="15" x14ac:dyDescent="0.25"/>
  <cols>
    <col min="1" max="1" width="44" customWidth="1"/>
    <col min="2" max="4" width="18" customWidth="1"/>
    <col min="5" max="5" width="42" customWidth="1"/>
  </cols>
  <sheetData>
    <row r="1" spans="1:5" ht="24" customHeight="1" x14ac:dyDescent="0.25">
      <c r="A1" s="193" t="s">
        <v>687</v>
      </c>
      <c r="B1" s="185"/>
      <c r="C1" s="185"/>
      <c r="D1" s="185"/>
      <c r="E1" s="185"/>
    </row>
    <row r="2" spans="1:5" x14ac:dyDescent="0.25">
      <c r="A2" s="14" t="s">
        <v>688</v>
      </c>
    </row>
    <row r="4" spans="1:5" ht="15.75" customHeight="1" x14ac:dyDescent="0.25">
      <c r="B4" s="15" t="s">
        <v>101</v>
      </c>
      <c r="C4" s="34" t="s">
        <v>102</v>
      </c>
      <c r="D4" s="17" t="s">
        <v>103</v>
      </c>
      <c r="E4" s="18" t="s">
        <v>28</v>
      </c>
    </row>
    <row r="5" spans="1:5" x14ac:dyDescent="0.25">
      <c r="A5" s="184" t="s">
        <v>689</v>
      </c>
      <c r="B5" s="185"/>
      <c r="C5" s="185"/>
      <c r="D5" s="185"/>
    </row>
    <row r="6" spans="1:5" x14ac:dyDescent="0.25">
      <c r="A6" s="7" t="s">
        <v>362</v>
      </c>
      <c r="B6" s="52">
        <f>DCF!Q34</f>
        <v>157.92188754137794</v>
      </c>
      <c r="C6" s="52">
        <f>DCF!R34</f>
        <v>301.19452616107958</v>
      </c>
      <c r="D6" s="52">
        <f>DCF!S34</f>
        <v>497.11513516286425</v>
      </c>
    </row>
    <row r="8" spans="1:5" x14ac:dyDescent="0.25">
      <c r="A8" s="184" t="s">
        <v>690</v>
      </c>
      <c r="B8" s="185"/>
      <c r="C8" s="185"/>
      <c r="D8" s="185"/>
    </row>
    <row r="9" spans="1:5" x14ac:dyDescent="0.25">
      <c r="A9" s="9" t="s">
        <v>691</v>
      </c>
      <c r="B9" s="72">
        <f>FY25_base!B46</f>
        <v>30.981000000000002</v>
      </c>
      <c r="C9" s="72">
        <f>FY25_base!B46</f>
        <v>30.981000000000002</v>
      </c>
      <c r="D9" s="72">
        <f>FY25_base!B46</f>
        <v>30.981000000000002</v>
      </c>
      <c r="E9" s="28" t="s">
        <v>692</v>
      </c>
    </row>
    <row r="10" spans="1:5" x14ac:dyDescent="0.25">
      <c r="A10" s="9" t="s">
        <v>250</v>
      </c>
      <c r="B10" s="72">
        <f>FY25_base!B47</f>
        <v>-5.4020000000000001</v>
      </c>
      <c r="C10" s="72">
        <f>FY25_base!B47</f>
        <v>-5.4020000000000001</v>
      </c>
      <c r="D10" s="72">
        <f>FY25_base!B47</f>
        <v>-5.4020000000000001</v>
      </c>
      <c r="E10" s="28" t="s">
        <v>693</v>
      </c>
    </row>
    <row r="11" spans="1:5" x14ac:dyDescent="0.25">
      <c r="A11" s="9" t="s">
        <v>251</v>
      </c>
      <c r="B11" s="72">
        <f>FY25_base!B48</f>
        <v>-10.925000000000001</v>
      </c>
      <c r="C11" s="72">
        <f>FY25_base!B48</f>
        <v>-10.925000000000001</v>
      </c>
      <c r="D11" s="72">
        <f>FY25_base!B48</f>
        <v>-10.925000000000001</v>
      </c>
      <c r="E11" s="28" t="s">
        <v>694</v>
      </c>
    </row>
    <row r="12" spans="1:5" ht="26.45" customHeight="1" x14ac:dyDescent="0.25">
      <c r="A12" s="7" t="s">
        <v>252</v>
      </c>
      <c r="B12" s="104">
        <f>FY25_base!B49</f>
        <v>14.654</v>
      </c>
      <c r="C12" s="104">
        <f>FY25_base!B49</f>
        <v>14.654</v>
      </c>
      <c r="D12" s="104">
        <f>FY25_base!B49</f>
        <v>14.654</v>
      </c>
      <c r="E12" s="28" t="s">
        <v>695</v>
      </c>
    </row>
    <row r="14" spans="1:5" x14ac:dyDescent="0.25">
      <c r="A14" s="184" t="s">
        <v>696</v>
      </c>
      <c r="B14" s="185"/>
      <c r="C14" s="185"/>
      <c r="D14" s="185"/>
    </row>
    <row r="15" spans="1:5" x14ac:dyDescent="0.25">
      <c r="A15" s="7" t="s">
        <v>697</v>
      </c>
      <c r="B15" s="51">
        <f>B6-B12</f>
        <v>143.26788754137795</v>
      </c>
      <c r="C15" s="13">
        <f>C6-C12</f>
        <v>286.54052616107958</v>
      </c>
      <c r="D15" s="51">
        <f>D6-D12</f>
        <v>482.46113516286425</v>
      </c>
    </row>
    <row r="17" spans="1:5" x14ac:dyDescent="0.25">
      <c r="A17" s="184" t="s">
        <v>698</v>
      </c>
      <c r="B17" s="185"/>
      <c r="C17" s="185"/>
      <c r="D17" s="185"/>
    </row>
    <row r="18" spans="1:5" x14ac:dyDescent="0.25">
      <c r="A18" s="9" t="s">
        <v>699</v>
      </c>
      <c r="B18" s="105">
        <f>FY25_base!B69</f>
        <v>1536790</v>
      </c>
      <c r="C18" s="105">
        <f>FY25_base!B69</f>
        <v>1536790</v>
      </c>
      <c r="D18" s="105">
        <f>FY25_base!B69</f>
        <v>1536790</v>
      </c>
      <c r="E18" s="28" t="s">
        <v>700</v>
      </c>
    </row>
    <row r="19" spans="1:5" x14ac:dyDescent="0.25">
      <c r="A19" s="9" t="s">
        <v>701</v>
      </c>
      <c r="B19" s="106">
        <f>B18/1000000</f>
        <v>1.5367900000000001</v>
      </c>
      <c r="C19" s="106">
        <f>C18/1000000</f>
        <v>1.5367900000000001</v>
      </c>
      <c r="D19" s="106">
        <f>D18/1000000</f>
        <v>1.5367900000000001</v>
      </c>
    </row>
    <row r="20" spans="1:5" ht="16.899999999999999" customHeight="1" x14ac:dyDescent="0.25">
      <c r="A20" s="7" t="s">
        <v>702</v>
      </c>
      <c r="B20" s="107">
        <f>B15/B19</f>
        <v>93.225416316723781</v>
      </c>
      <c r="C20" s="107">
        <f>C15/C19</f>
        <v>186.45392419333777</v>
      </c>
      <c r="D20" s="107">
        <f>D15/D19</f>
        <v>313.94083457262491</v>
      </c>
    </row>
    <row r="22" spans="1:5" x14ac:dyDescent="0.25">
      <c r="A22" s="184" t="s">
        <v>703</v>
      </c>
      <c r="B22" s="185"/>
      <c r="C22" s="185"/>
      <c r="D22" s="185"/>
    </row>
    <row r="23" spans="1:5" x14ac:dyDescent="0.25">
      <c r="A23" s="9" t="s">
        <v>704</v>
      </c>
      <c r="C23" s="52">
        <f>Transaction_comps!F27</f>
        <v>411</v>
      </c>
    </row>
    <row r="24" spans="1:5" x14ac:dyDescent="0.25">
      <c r="A24" s="9" t="s">
        <v>705</v>
      </c>
      <c r="C24" s="51">
        <f>C23-C12</f>
        <v>396.346</v>
      </c>
    </row>
    <row r="25" spans="1:5" ht="26.45" customHeight="1" x14ac:dyDescent="0.25">
      <c r="A25" s="7" t="s">
        <v>706</v>
      </c>
      <c r="C25" s="107">
        <f>C24/C19</f>
        <v>257.90511390625915</v>
      </c>
      <c r="E25" s="28" t="s">
        <v>707</v>
      </c>
    </row>
    <row r="27" spans="1:5" x14ac:dyDescent="0.25">
      <c r="A27" s="199" t="s">
        <v>708</v>
      </c>
      <c r="B27" s="185"/>
      <c r="C27" s="185"/>
      <c r="D27" s="185"/>
      <c r="E27" s="185"/>
    </row>
    <row r="28" spans="1:5" x14ac:dyDescent="0.25">
      <c r="A28" s="7" t="s">
        <v>709</v>
      </c>
      <c r="C28" s="108">
        <f>C6</f>
        <v>301.19452616107958</v>
      </c>
    </row>
    <row r="29" spans="1:5" x14ac:dyDescent="0.25">
      <c r="A29" s="7" t="s">
        <v>710</v>
      </c>
      <c r="C29" s="108">
        <f>C12</f>
        <v>14.654</v>
      </c>
    </row>
    <row r="30" spans="1:5" x14ac:dyDescent="0.25">
      <c r="A30" s="7" t="s">
        <v>711</v>
      </c>
      <c r="C30" s="108">
        <f>C15</f>
        <v>286.54052616107958</v>
      </c>
    </row>
    <row r="31" spans="1:5" x14ac:dyDescent="0.25">
      <c r="A31" s="7" t="s">
        <v>712</v>
      </c>
      <c r="C31" s="109">
        <f>C19</f>
        <v>1.5367900000000001</v>
      </c>
    </row>
    <row r="32" spans="1:5" x14ac:dyDescent="0.25">
      <c r="A32" s="7" t="s">
        <v>713</v>
      </c>
      <c r="C32" s="110">
        <f>C20</f>
        <v>186.45392419333777</v>
      </c>
    </row>
  </sheetData>
  <mergeCells count="7">
    <mergeCell ref="A27:E27"/>
    <mergeCell ref="A14:D14"/>
    <mergeCell ref="A5:D5"/>
    <mergeCell ref="A17:D17"/>
    <mergeCell ref="A8:D8"/>
    <mergeCell ref="A22:D22"/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2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32" customWidth="1"/>
    <col min="2" max="2" width="58" customWidth="1"/>
    <col min="3" max="3" width="24" customWidth="1"/>
    <col min="4" max="4" width="30" customWidth="1"/>
  </cols>
  <sheetData>
    <row r="1" spans="1:4" ht="21.75" customHeight="1" x14ac:dyDescent="0.25">
      <c r="A1" s="193" t="s">
        <v>714</v>
      </c>
      <c r="B1" s="185"/>
      <c r="C1" s="185"/>
      <c r="D1" s="185"/>
    </row>
    <row r="3" spans="1:4" ht="15.75" customHeight="1" x14ac:dyDescent="0.25">
      <c r="A3" s="2" t="s">
        <v>715</v>
      </c>
      <c r="B3" s="2" t="s">
        <v>716</v>
      </c>
      <c r="C3" s="2" t="s">
        <v>717</v>
      </c>
      <c r="D3" s="2" t="s">
        <v>718</v>
      </c>
    </row>
    <row r="4" spans="1:4" ht="72" customHeight="1" x14ac:dyDescent="0.25">
      <c r="A4" s="111" t="s">
        <v>719</v>
      </c>
      <c r="B4" s="6" t="s">
        <v>720</v>
      </c>
      <c r="C4" s="112" t="s">
        <v>721</v>
      </c>
      <c r="D4" s="113" t="s">
        <v>722</v>
      </c>
    </row>
    <row r="5" spans="1:4" ht="72" customHeight="1" x14ac:dyDescent="0.25">
      <c r="A5" s="114" t="s">
        <v>723</v>
      </c>
      <c r="B5" s="5" t="s">
        <v>724</v>
      </c>
      <c r="C5" s="115" t="s">
        <v>725</v>
      </c>
      <c r="D5" s="116" t="s">
        <v>726</v>
      </c>
    </row>
    <row r="6" spans="1:4" ht="72" customHeight="1" x14ac:dyDescent="0.25">
      <c r="A6" s="111" t="s">
        <v>727</v>
      </c>
      <c r="B6" s="6" t="s">
        <v>728</v>
      </c>
      <c r="C6" s="112" t="s">
        <v>729</v>
      </c>
      <c r="D6" s="113" t="s">
        <v>730</v>
      </c>
    </row>
    <row r="7" spans="1:4" ht="72" customHeight="1" x14ac:dyDescent="0.25">
      <c r="A7" s="114" t="s">
        <v>731</v>
      </c>
      <c r="B7" s="5" t="s">
        <v>732</v>
      </c>
      <c r="C7" s="115" t="s">
        <v>733</v>
      </c>
      <c r="D7" s="116" t="s">
        <v>734</v>
      </c>
    </row>
    <row r="8" spans="1:4" ht="72" customHeight="1" x14ac:dyDescent="0.25">
      <c r="A8" s="111" t="s">
        <v>735</v>
      </c>
      <c r="B8" s="6" t="s">
        <v>736</v>
      </c>
      <c r="C8" s="112" t="s">
        <v>737</v>
      </c>
      <c r="D8" s="113" t="s">
        <v>738</v>
      </c>
    </row>
    <row r="9" spans="1:4" ht="72" customHeight="1" x14ac:dyDescent="0.25">
      <c r="A9" s="114" t="s">
        <v>739</v>
      </c>
      <c r="B9" s="5" t="s">
        <v>740</v>
      </c>
      <c r="C9" s="115" t="s">
        <v>741</v>
      </c>
      <c r="D9" s="116" t="s">
        <v>742</v>
      </c>
    </row>
    <row r="10" spans="1:4" ht="72" customHeight="1" x14ac:dyDescent="0.25">
      <c r="A10" s="111" t="s">
        <v>743</v>
      </c>
      <c r="B10" s="6" t="s">
        <v>744</v>
      </c>
      <c r="C10" s="112" t="s">
        <v>745</v>
      </c>
      <c r="D10" s="113" t="s">
        <v>746</v>
      </c>
    </row>
    <row r="11" spans="1:4" ht="72" customHeight="1" x14ac:dyDescent="0.25">
      <c r="A11" s="114" t="s">
        <v>747</v>
      </c>
      <c r="B11" s="5" t="s">
        <v>748</v>
      </c>
      <c r="C11" s="115" t="s">
        <v>749</v>
      </c>
      <c r="D11" s="116" t="s">
        <v>750</v>
      </c>
    </row>
    <row r="12" spans="1:4" x14ac:dyDescent="0.25">
      <c r="A12" s="145" t="s">
        <v>751</v>
      </c>
      <c r="B12" s="181" t="s">
        <v>752</v>
      </c>
      <c r="C12" s="181" t="s">
        <v>753</v>
      </c>
      <c r="D12" s="181" t="s">
        <v>754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0"/>
  <sheetViews>
    <sheetView showGridLines="0" workbookViewId="0"/>
  </sheetViews>
  <sheetFormatPr defaultRowHeight="15" x14ac:dyDescent="0.25"/>
  <cols>
    <col min="1" max="1" width="62" customWidth="1"/>
    <col min="2" max="2" width="16" customWidth="1"/>
    <col min="3" max="3" width="12" customWidth="1"/>
    <col min="4" max="4" width="10" customWidth="1"/>
  </cols>
  <sheetData>
    <row r="1" spans="1:4" ht="17.25" customHeight="1" x14ac:dyDescent="0.3">
      <c r="A1" s="151" t="s">
        <v>755</v>
      </c>
    </row>
    <row r="3" spans="1:4" x14ac:dyDescent="0.25">
      <c r="A3" s="152" t="s">
        <v>756</v>
      </c>
      <c r="B3" s="152" t="s">
        <v>757</v>
      </c>
      <c r="C3" s="152" t="s">
        <v>758</v>
      </c>
      <c r="D3" s="152" t="s">
        <v>759</v>
      </c>
    </row>
    <row r="4" spans="1:4" x14ac:dyDescent="0.25">
      <c r="A4" t="s">
        <v>760</v>
      </c>
      <c r="B4" s="153">
        <f>Inputs!C6-61.416</f>
        <v>0</v>
      </c>
      <c r="C4" s="153">
        <v>1E-3</v>
      </c>
      <c r="D4" s="145" t="str">
        <f t="shared" ref="D4:D17" si="0">IF(ABS(B4)&lt;=C4,"PASS","FAIL")</f>
        <v>PASS</v>
      </c>
    </row>
    <row r="5" spans="1:4" x14ac:dyDescent="0.25">
      <c r="A5" t="s">
        <v>761</v>
      </c>
      <c r="B5" s="153">
        <f>Inputs!C7-13.384</f>
        <v>0</v>
      </c>
      <c r="C5" s="153">
        <v>1E-3</v>
      </c>
      <c r="D5" s="145" t="str">
        <f t="shared" si="0"/>
        <v>PASS</v>
      </c>
    </row>
    <row r="6" spans="1:4" x14ac:dyDescent="0.25">
      <c r="A6" t="s">
        <v>762</v>
      </c>
      <c r="B6" s="153">
        <f>LBO_full!B68</f>
        <v>0</v>
      </c>
      <c r="C6" s="153">
        <v>1E-3</v>
      </c>
      <c r="D6" s="145" t="str">
        <f t="shared" si="0"/>
        <v>PASS</v>
      </c>
    </row>
    <row r="7" spans="1:4" x14ac:dyDescent="0.25">
      <c r="A7" t="s">
        <v>763</v>
      </c>
      <c r="B7" s="153">
        <f>LBO_full!C68</f>
        <v>0</v>
      </c>
      <c r="C7" s="153">
        <v>1E-3</v>
      </c>
      <c r="D7" s="145" t="str">
        <f t="shared" si="0"/>
        <v>PASS</v>
      </c>
    </row>
    <row r="8" spans="1:4" x14ac:dyDescent="0.25">
      <c r="A8" t="s">
        <v>764</v>
      </c>
      <c r="B8" s="153">
        <f>LBO_full!D68</f>
        <v>0</v>
      </c>
      <c r="C8" s="153">
        <v>1E-3</v>
      </c>
      <c r="D8" s="145" t="str">
        <f t="shared" si="0"/>
        <v>PASS</v>
      </c>
    </row>
    <row r="9" spans="1:4" x14ac:dyDescent="0.25">
      <c r="A9" t="s">
        <v>765</v>
      </c>
      <c r="B9" s="153">
        <f>LBO_full!B11-0.225</f>
        <v>9.0327024622499641E-5</v>
      </c>
      <c r="C9" s="153">
        <v>1E-3</v>
      </c>
      <c r="D9" s="145" t="str">
        <f t="shared" si="0"/>
        <v>PASS</v>
      </c>
    </row>
    <row r="10" spans="1:4" x14ac:dyDescent="0.25">
      <c r="A10" t="s">
        <v>766</v>
      </c>
      <c r="B10" s="153">
        <f>LBO_full!C11-0.225</f>
        <v>3.7697862310531738E-5</v>
      </c>
      <c r="C10" s="153">
        <v>1E-3</v>
      </c>
      <c r="D10" s="145" t="str">
        <f t="shared" si="0"/>
        <v>PASS</v>
      </c>
    </row>
    <row r="11" spans="1:4" x14ac:dyDescent="0.25">
      <c r="A11" t="s">
        <v>767</v>
      </c>
      <c r="B11" s="153">
        <f>LBO_full!D11-0.225</f>
        <v>-4.6367352966397712E-5</v>
      </c>
      <c r="C11" s="153">
        <v>1E-3</v>
      </c>
      <c r="D11" s="145" t="str">
        <f t="shared" si="0"/>
        <v>PASS</v>
      </c>
    </row>
    <row r="12" spans="1:4" x14ac:dyDescent="0.25">
      <c r="A12" t="s">
        <v>768</v>
      </c>
      <c r="B12" s="153">
        <f>LBO_full!D223</f>
        <v>-3.0213768945075437E-7</v>
      </c>
      <c r="C12" s="153">
        <v>1E-4</v>
      </c>
      <c r="D12" s="145" t="str">
        <f t="shared" si="0"/>
        <v>PASS</v>
      </c>
    </row>
    <row r="13" spans="1:4" x14ac:dyDescent="0.25">
      <c r="A13" t="s">
        <v>769</v>
      </c>
      <c r="B13" s="153">
        <f>LBO_full!D227</f>
        <v>0</v>
      </c>
      <c r="C13" s="153">
        <v>0.01</v>
      </c>
      <c r="D13" s="145" t="str">
        <f t="shared" si="0"/>
        <v>PASS</v>
      </c>
    </row>
    <row r="14" spans="1:4" x14ac:dyDescent="0.25">
      <c r="A14" t="s">
        <v>770</v>
      </c>
      <c r="B14" s="153">
        <f>Trading_comps!F26-ROUND(AVERAGE(Trading_comps!F22,Trading_comps!F24),0)</f>
        <v>0</v>
      </c>
      <c r="C14" s="153">
        <v>1E-3</v>
      </c>
      <c r="D14" s="145" t="str">
        <f t="shared" si="0"/>
        <v>PASS</v>
      </c>
    </row>
    <row r="15" spans="1:4" x14ac:dyDescent="0.25">
      <c r="A15" t="s">
        <v>771</v>
      </c>
      <c r="B15" s="153">
        <f>Transaction_comps!F27-ROUND(Transaction_comps!F25,0)</f>
        <v>0</v>
      </c>
      <c r="C15" s="153">
        <v>1E-3</v>
      </c>
      <c r="D15" s="145" t="str">
        <f t="shared" si="0"/>
        <v>PASS</v>
      </c>
    </row>
    <row r="16" spans="1:4" x14ac:dyDescent="0.25">
      <c r="A16" t="s">
        <v>772</v>
      </c>
      <c r="B16" s="153">
        <f>Inputs!C56</f>
        <v>1.7587000000000158E-3</v>
      </c>
      <c r="C16" s="153">
        <v>2.5000000000000001E-3</v>
      </c>
      <c r="D16" s="145" t="str">
        <f t="shared" si="0"/>
        <v>PASS</v>
      </c>
    </row>
    <row r="17" spans="1:4" x14ac:dyDescent="0.25">
      <c r="A17" t="s">
        <v>773</v>
      </c>
      <c r="B17" s="153">
        <f>Football_field!C8-LBO_full!C199</f>
        <v>0</v>
      </c>
      <c r="C17" s="153">
        <v>1E-3</v>
      </c>
      <c r="D17" s="145" t="str">
        <f t="shared" si="0"/>
        <v>PASS</v>
      </c>
    </row>
    <row r="18" spans="1:4" x14ac:dyDescent="0.25">
      <c r="A18" s="145" t="s">
        <v>774</v>
      </c>
      <c r="D18" s="154" t="str">
        <f>IF(COUNTIF(D4:D17,"FAIL")=0,"PASS","FAIL")</f>
        <v>PASS</v>
      </c>
    </row>
    <row r="20" spans="1:4" x14ac:dyDescent="0.25">
      <c r="A20" s="147" t="s">
        <v>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Inputs</vt:lpstr>
      <vt:lpstr>FY25_base</vt:lpstr>
      <vt:lpstr>DCF</vt:lpstr>
      <vt:lpstr>Sensitivity</vt:lpstr>
      <vt:lpstr>Margin_path</vt:lpstr>
      <vt:lpstr>Trading_comps</vt:lpstr>
      <vt:lpstr>Transaction_comps</vt:lpstr>
      <vt:lpstr>LBO_old</vt:lpstr>
      <vt:lpstr>LBO_full</vt:lpstr>
      <vt:lpstr>Football_field</vt:lpstr>
      <vt:lpstr>Equity_bridge</vt:lpstr>
      <vt:lpstr>Caveats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Sidetrade SA — Valuation v2.1 (as of 15-Jul-2026, document de démonstration)</dc:title>
  <dc:creator>Hamza Ben Chaouch</dc:creator>
  <cp:lastModifiedBy>Hamza Ben Chaouch</cp:lastModifiedBy>
  <cp:revision>0</cp:revision>
  <dcterms:created xsi:type="dcterms:W3CDTF">2026-05-28T20:35:47Z</dcterms:created>
  <dcterms:modified xsi:type="dcterms:W3CDTF">2026-07-16T22:12:37Z</dcterms:modified>
  <dc:language>en-US</dc:language>
</cp:coreProperties>
</file>