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bah\AppData\Local\Temp\OP-FIN-EXACT-REVENUE-02-20260812\"/>
    </mc:Choice>
  </mc:AlternateContent>
  <xr:revisionPtr revIDLastSave="0" documentId="13_ncr:1_{A8B6BDEF-80D4-4BB2-A4EC-91701E0F145B}" xr6:coauthVersionLast="47" xr6:coauthVersionMax="47" xr10:uidLastSave="{00000000-0000-0000-0000-000000000000}"/>
  <bookViews>
    <workbookView xWindow="-300" yWindow="6630" windowWidth="28800" windowHeight="15885" xr2:uid="{00000000-000D-0000-FFFF-FFFF00000000}"/>
  </bookViews>
  <sheets>
    <sheet name="Lisez-moi" sheetId="1" r:id="rId1"/>
    <sheet name="Calendrier" sheetId="2" r:id="rId2"/>
    <sheet name="Hypothèses" sheetId="3" r:id="rId3"/>
    <sheet name="M3 Stand-alone" sheetId="4" r:id="rId4"/>
    <sheet name="M4 TSA" sheetId="5" r:id="rId5"/>
    <sheet name="M5 One-offs" sheetId="6" r:id="rId6"/>
    <sheet name="M6 Bridge" sheetId="7" r:id="rId7"/>
    <sheet name="M7 Financement" sheetId="8" r:id="rId8"/>
    <sheet name="Contrôles" sheetId="9" r:id="rId9"/>
    <sheet name="Scénarios" sheetId="10" r:id="rId10"/>
    <sheet name="M8 Acquéreu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8" l="1"/>
  <c r="F55" i="8"/>
  <c r="E55" i="8"/>
  <c r="D55" i="8"/>
  <c r="C55" i="8"/>
  <c r="G54" i="8"/>
  <c r="F54" i="8"/>
  <c r="E54" i="8"/>
  <c r="D54" i="8"/>
  <c r="C54" i="8"/>
  <c r="G53" i="8"/>
  <c r="F53" i="8"/>
  <c r="E53" i="8"/>
  <c r="D53" i="8"/>
  <c r="C53" i="8"/>
  <c r="G52" i="8"/>
  <c r="F52" i="8"/>
  <c r="E52" i="8"/>
  <c r="D52" i="8"/>
  <c r="C52" i="8"/>
  <c r="F50" i="8"/>
  <c r="E50" i="8"/>
  <c r="D50" i="8"/>
  <c r="C50" i="8"/>
  <c r="C48" i="8"/>
  <c r="G47" i="8"/>
  <c r="F47" i="8"/>
  <c r="E47" i="8"/>
  <c r="D47" i="8"/>
  <c r="E42" i="8"/>
  <c r="D42" i="8"/>
  <c r="G37" i="8"/>
  <c r="F37" i="8"/>
  <c r="E37" i="8"/>
  <c r="D37" i="8"/>
  <c r="C37" i="8"/>
  <c r="G36" i="8"/>
  <c r="F36" i="8"/>
  <c r="E36" i="8"/>
  <c r="D36" i="8"/>
  <c r="C36" i="8"/>
  <c r="G35" i="8"/>
  <c r="F35" i="8"/>
  <c r="E35" i="8"/>
  <c r="D35" i="8"/>
  <c r="C35" i="8"/>
  <c r="G34" i="8"/>
  <c r="F34" i="8"/>
  <c r="E34" i="8"/>
  <c r="D34" i="8"/>
  <c r="C34" i="8"/>
  <c r="G33" i="8"/>
  <c r="F33" i="8"/>
  <c r="E33" i="8"/>
  <c r="D33" i="8"/>
  <c r="C33" i="8"/>
  <c r="G32" i="8"/>
  <c r="F32" i="8"/>
  <c r="E32" i="8"/>
  <c r="D32" i="8"/>
  <c r="C32" i="8"/>
  <c r="G31" i="8"/>
  <c r="F31" i="8"/>
  <c r="E31" i="8"/>
  <c r="D31" i="8"/>
  <c r="C31" i="8"/>
  <c r="G30" i="8"/>
  <c r="F30" i="8"/>
  <c r="E30" i="8"/>
  <c r="D30" i="8"/>
  <c r="C30" i="8"/>
  <c r="G29" i="8"/>
  <c r="F29" i="8"/>
  <c r="E29" i="8"/>
  <c r="D29" i="8"/>
  <c r="C29" i="8"/>
  <c r="D26" i="8"/>
  <c r="G24" i="8"/>
  <c r="F24" i="8"/>
  <c r="E24" i="8"/>
  <c r="D24" i="8"/>
  <c r="C24" i="8"/>
  <c r="G23" i="8"/>
  <c r="F23" i="8"/>
  <c r="E23" i="8"/>
  <c r="D23" i="8"/>
  <c r="C23" i="8"/>
  <c r="G15" i="8"/>
  <c r="F15" i="8"/>
  <c r="E15" i="8"/>
  <c r="D15" i="8"/>
  <c r="C15" i="8"/>
  <c r="D16" i="9" s="1"/>
  <c r="H22" i="7"/>
  <c r="G51" i="8" s="1"/>
  <c r="G22" i="7"/>
  <c r="F51" i="8" s="1"/>
  <c r="F22" i="7"/>
  <c r="E51" i="8" s="1"/>
  <c r="E22" i="7"/>
  <c r="D51" i="8" s="1"/>
  <c r="D22" i="7"/>
  <c r="C51" i="8" s="1"/>
  <c r="C22" i="7"/>
  <c r="H21" i="7"/>
  <c r="G50" i="8" s="1"/>
  <c r="G21" i="7"/>
  <c r="F21" i="7"/>
  <c r="E21" i="7"/>
  <c r="D21" i="7"/>
  <c r="C21" i="7"/>
  <c r="H20" i="7"/>
  <c r="G49" i="8" s="1"/>
  <c r="G20" i="7"/>
  <c r="F49" i="8" s="1"/>
  <c r="F20" i="7"/>
  <c r="E49" i="8" s="1"/>
  <c r="E20" i="7"/>
  <c r="D49" i="8" s="1"/>
  <c r="D20" i="7"/>
  <c r="C49" i="8" s="1"/>
  <c r="C20" i="7"/>
  <c r="H19" i="7"/>
  <c r="G48" i="8" s="1"/>
  <c r="G19" i="7"/>
  <c r="F48" i="8" s="1"/>
  <c r="F19" i="7"/>
  <c r="E48" i="8" s="1"/>
  <c r="E19" i="7"/>
  <c r="D48" i="8" s="1"/>
  <c r="D19" i="7"/>
  <c r="C19" i="7"/>
  <c r="H18" i="7"/>
  <c r="G18" i="7"/>
  <c r="F18" i="7"/>
  <c r="E18" i="7"/>
  <c r="D18" i="7"/>
  <c r="C47" i="8" s="1"/>
  <c r="C18" i="7"/>
  <c r="H17" i="7"/>
  <c r="G46" i="8" s="1"/>
  <c r="G17" i="7"/>
  <c r="F46" i="8" s="1"/>
  <c r="F17" i="7"/>
  <c r="E46" i="8" s="1"/>
  <c r="E17" i="7"/>
  <c r="D46" i="8" s="1"/>
  <c r="D17" i="7"/>
  <c r="C46" i="8" s="1"/>
  <c r="C17" i="7"/>
  <c r="H16" i="7"/>
  <c r="G45" i="8" s="1"/>
  <c r="G16" i="7"/>
  <c r="F45" i="8" s="1"/>
  <c r="F16" i="7"/>
  <c r="E45" i="8" s="1"/>
  <c r="E16" i="7"/>
  <c r="D45" i="8" s="1"/>
  <c r="D16" i="7"/>
  <c r="C45" i="8" s="1"/>
  <c r="C16" i="7"/>
  <c r="H15" i="7"/>
  <c r="G44" i="8" s="1"/>
  <c r="G15" i="7"/>
  <c r="F44" i="8" s="1"/>
  <c r="F15" i="7"/>
  <c r="E44" i="8" s="1"/>
  <c r="E15" i="7"/>
  <c r="D44" i="8" s="1"/>
  <c r="D15" i="7"/>
  <c r="C44" i="8" s="1"/>
  <c r="C15" i="7"/>
  <c r="H14" i="7"/>
  <c r="G43" i="8" s="1"/>
  <c r="G14" i="7"/>
  <c r="F43" i="8" s="1"/>
  <c r="F14" i="7"/>
  <c r="E43" i="8" s="1"/>
  <c r="E14" i="7"/>
  <c r="D43" i="8" s="1"/>
  <c r="D14" i="7"/>
  <c r="C43" i="8" s="1"/>
  <c r="C14" i="7"/>
  <c r="H13" i="7"/>
  <c r="G42" i="8" s="1"/>
  <c r="G13" i="7"/>
  <c r="F42" i="8" s="1"/>
  <c r="F13" i="7"/>
  <c r="E13" i="7"/>
  <c r="D13" i="7"/>
  <c r="C42" i="8" s="1"/>
  <c r="C13" i="7"/>
  <c r="H12" i="7"/>
  <c r="G41" i="8" s="1"/>
  <c r="G12" i="7"/>
  <c r="F41" i="8" s="1"/>
  <c r="F12" i="7"/>
  <c r="E41" i="8" s="1"/>
  <c r="E12" i="7"/>
  <c r="D41" i="8" s="1"/>
  <c r="D12" i="7"/>
  <c r="C41" i="8" s="1"/>
  <c r="C12" i="7"/>
  <c r="H11" i="7"/>
  <c r="G28" i="8" s="1"/>
  <c r="G11" i="7"/>
  <c r="F28" i="8" s="1"/>
  <c r="E9" i="7"/>
  <c r="H12" i="6"/>
  <c r="G12" i="6"/>
  <c r="F12" i="6"/>
  <c r="E12" i="6"/>
  <c r="D12" i="6"/>
  <c r="D14" i="9" s="1"/>
  <c r="C12" i="6"/>
  <c r="I11" i="6"/>
  <c r="I10" i="6"/>
  <c r="I9" i="6"/>
  <c r="I8" i="6"/>
  <c r="I7" i="6"/>
  <c r="I6" i="6"/>
  <c r="N11" i="5"/>
  <c r="M11" i="5"/>
  <c r="L11" i="5"/>
  <c r="K11" i="5"/>
  <c r="J11" i="5"/>
  <c r="I11" i="5"/>
  <c r="H10" i="5"/>
  <c r="F10" i="5"/>
  <c r="H9" i="5"/>
  <c r="F9" i="5"/>
  <c r="H8" i="5"/>
  <c r="F8" i="5"/>
  <c r="H7" i="5"/>
  <c r="F7" i="5"/>
  <c r="H6" i="5"/>
  <c r="D13" i="9" s="1"/>
  <c r="F6" i="5"/>
  <c r="C15" i="4"/>
  <c r="C33" i="7" s="1"/>
  <c r="I14" i="4"/>
  <c r="H14" i="4"/>
  <c r="G14" i="4"/>
  <c r="F11" i="7" s="1"/>
  <c r="E28" i="8" s="1"/>
  <c r="F14" i="4"/>
  <c r="E11" i="7" s="1"/>
  <c r="D28" i="8" s="1"/>
  <c r="E14" i="4"/>
  <c r="D11" i="7" s="1"/>
  <c r="C28" i="8" s="1"/>
  <c r="D14" i="4"/>
  <c r="C11" i="7" s="1"/>
  <c r="I13" i="4"/>
  <c r="H10" i="7" s="1"/>
  <c r="G27" i="8" s="1"/>
  <c r="H13" i="4"/>
  <c r="G10" i="7" s="1"/>
  <c r="F27" i="8" s="1"/>
  <c r="G13" i="4"/>
  <c r="F10" i="7" s="1"/>
  <c r="E27" i="8" s="1"/>
  <c r="F13" i="4"/>
  <c r="E10" i="7" s="1"/>
  <c r="D27" i="8" s="1"/>
  <c r="E13" i="4"/>
  <c r="D10" i="7" s="1"/>
  <c r="C27" i="8" s="1"/>
  <c r="D13" i="4"/>
  <c r="C10" i="7" s="1"/>
  <c r="I12" i="4"/>
  <c r="H9" i="7" s="1"/>
  <c r="G26" i="8" s="1"/>
  <c r="H12" i="4"/>
  <c r="G9" i="7" s="1"/>
  <c r="F26" i="8" s="1"/>
  <c r="G12" i="4"/>
  <c r="F9" i="7" s="1"/>
  <c r="E26" i="8" s="1"/>
  <c r="F12" i="4"/>
  <c r="E12" i="4"/>
  <c r="D9" i="7" s="1"/>
  <c r="C26" i="8" s="1"/>
  <c r="D12" i="4"/>
  <c r="C9" i="7" s="1"/>
  <c r="I11" i="4"/>
  <c r="H8" i="7" s="1"/>
  <c r="H11" i="4"/>
  <c r="G11" i="4"/>
  <c r="F11" i="4"/>
  <c r="E11" i="4"/>
  <c r="D8" i="7" s="1"/>
  <c r="D11" i="4"/>
  <c r="C8" i="7" s="1"/>
  <c r="C15" i="3"/>
  <c r="D8" i="9" s="1"/>
  <c r="C9" i="3"/>
  <c r="C11" i="3" s="1"/>
  <c r="D7" i="9" s="1"/>
  <c r="C8" i="3"/>
  <c r="I23" i="2"/>
  <c r="J23" i="2" s="1"/>
  <c r="I22" i="2"/>
  <c r="J22" i="2" s="1"/>
  <c r="I21" i="2"/>
  <c r="J21" i="2" s="1"/>
  <c r="J20" i="2"/>
  <c r="I20" i="2"/>
  <c r="I19" i="2"/>
  <c r="J19" i="2" s="1"/>
  <c r="I12" i="6" l="1"/>
  <c r="C31" i="7"/>
  <c r="G15" i="4"/>
  <c r="H15" i="4"/>
  <c r="C34" i="7"/>
  <c r="D27" i="9" s="1"/>
  <c r="F15" i="4"/>
  <c r="D6" i="9"/>
  <c r="F56" i="8"/>
  <c r="F66" i="8" s="1"/>
  <c r="C56" i="8"/>
  <c r="C66" i="8" s="1"/>
  <c r="C25" i="8"/>
  <c r="C38" i="8" s="1"/>
  <c r="C65" i="8" s="1"/>
  <c r="D31" i="7"/>
  <c r="D12" i="9"/>
  <c r="G56" i="8"/>
  <c r="G66" i="8" s="1"/>
  <c r="H31" i="7"/>
  <c r="G61" i="8" s="1"/>
  <c r="G62" i="8" s="1"/>
  <c r="G67" i="8" s="1"/>
  <c r="G25" i="8"/>
  <c r="G38" i="8" s="1"/>
  <c r="D56" i="8"/>
  <c r="D66" i="8" s="1"/>
  <c r="E56" i="8"/>
  <c r="E66" i="8" s="1"/>
  <c r="C6" i="11"/>
  <c r="C7" i="11" s="1"/>
  <c r="C8" i="11" s="1"/>
  <c r="D9" i="9"/>
  <c r="I15" i="4"/>
  <c r="E8" i="7"/>
  <c r="F8" i="7"/>
  <c r="D10" i="9"/>
  <c r="D11" i="9"/>
  <c r="G8" i="7"/>
  <c r="D15" i="4"/>
  <c r="E15" i="4"/>
  <c r="G65" i="8" l="1"/>
  <c r="C76" i="8"/>
  <c r="G31" i="7"/>
  <c r="F61" i="8" s="1"/>
  <c r="F62" i="8" s="1"/>
  <c r="F25" i="8"/>
  <c r="F38" i="8" s="1"/>
  <c r="F65" i="8" s="1"/>
  <c r="C61" i="8"/>
  <c r="C62" i="8" s="1"/>
  <c r="F31" i="7"/>
  <c r="E61" i="8" s="1"/>
  <c r="E62" i="8" s="1"/>
  <c r="E67" i="8" s="1"/>
  <c r="E25" i="8"/>
  <c r="E38" i="8" s="1"/>
  <c r="E65" i="8" s="1"/>
  <c r="E31" i="7"/>
  <c r="D61" i="8" s="1"/>
  <c r="D62" i="8" s="1"/>
  <c r="D67" i="8" s="1"/>
  <c r="D25" i="8"/>
  <c r="D38" i="8" s="1"/>
  <c r="D65" i="8" s="1"/>
  <c r="F67" i="8" l="1"/>
  <c r="D15" i="9"/>
  <c r="C63" i="8"/>
  <c r="C67" i="8"/>
  <c r="D23" i="9" s="1"/>
  <c r="C64" i="8" l="1"/>
  <c r="D63" i="8"/>
  <c r="D64" i="8" l="1"/>
  <c r="E63" i="8"/>
  <c r="E64" i="8" l="1"/>
  <c r="F63" i="8"/>
  <c r="F64" i="8" l="1"/>
  <c r="G63" i="8"/>
  <c r="C75" i="8" l="1"/>
  <c r="C74" i="8"/>
  <c r="G64" i="8"/>
  <c r="C71" i="8" l="1"/>
  <c r="D17" i="9"/>
  <c r="C10" i="11" l="1"/>
  <c r="C72" i="8"/>
  <c r="D18" i="9"/>
</calcChain>
</file>

<file path=xl/sharedStrings.xml><?xml version="1.0" encoding="utf-8"?>
<sst xmlns="http://schemas.openxmlformats.org/spreadsheetml/2006/main" count="999" uniqueCount="430">
  <si>
    <t>PROJET HERMÈS — MODÈLE DE CARVE-OUT</t>
  </si>
  <si>
    <t>Opella (Sanofi / CD&amp;R) — coût de l'autonomie et besoin de cash de séparation</t>
  </si>
  <si>
    <t>Objet</t>
  </si>
  <si>
    <t>Mesurer ce que coûte l'autonomie d'Opella et ce que la séparation exige en cash, période par période, du closing au régime établi.</t>
  </si>
  <si>
    <t>Chaîne de vérité</t>
  </si>
  <si>
    <t>build_carveout.py porte la logique et génère ce workbook, qui est l'artefact contrôlé. Le snapshot JSON est un export sémantique réconcilié au workbook ; il n'est jamais une entrée du générateur.</t>
  </si>
  <si>
    <t>Calendrier</t>
  </si>
  <si>
    <t>Le closing du 30/04/2025 est la borne d'origine. 2025 est un stub de 8 mois (P1), pas une année pleine. La TSA se compte en mois contractuels depuis le closing (mois 1 = mai 2025) puis se convertit en périodes calendaires.</t>
  </si>
  <si>
    <t>Deux registres</t>
  </si>
  <si>
    <t>Registre comptable pour M2 à M6 : une charge est négative. Registre de besoin pour M7 seul : le besoin est publié en montant positif. Une ligne du cas contribue au besoin pour −montant, une ligne du contrefactuel pour +montant.</t>
  </si>
  <si>
    <t>Régime établi</t>
  </si>
  <si>
    <t>Ce n'est pas une hypothèse mais un output daté : première période sans TSA, sans one-off, et avec les coûts stand-alone à 100 % de leur run-rate.</t>
  </si>
  <si>
    <t>Code couleur</t>
  </si>
  <si>
    <t>Bleu : entrées modifiables. Noir : formules. Vert : liens inter-onglets. Fond jaune : hypothèse structurante à challenger.</t>
  </si>
  <si>
    <t>Avertissement</t>
  </si>
  <si>
    <t>Document de démonstration méthodologique préparé par Hamza Ben Chaouch (ESSEC). Ne constitue ni un conseil, ni une valorisation, ni un underwriting. Les ajustements de carve-out sont des estimations du rédacteur.</t>
  </si>
  <si>
    <t>REGISTRE DES SOURCES</t>
  </si>
  <si>
    <t>Id</t>
  </si>
  <si>
    <t>Source, date de valeur et date de consultation</t>
  </si>
  <si>
    <t>S1</t>
  </si>
  <si>
    <t>Sanofi — annonce de la transaction Opella — organisme : Sanofi — document : Sanofi and CD&amp;R partner to fuel Opella’s ambitions in consumer healthcare — publication : 2024-10-21 — date de valeur 2024-10-21, consultée le 2026-07-29 — périmètre : Annonce de transaction ; EBITDA estimé 2024 — localisation : Communiqué, paragraphe « The valuation of Opella… » — statut : public / primary — fait utilisé : Valeur d’entreprise d’environ 16 Md€ et multiple annoncé d’environ 14x l’EBITDA estimé 2024 — référence exacte : Sanofi — Sanofi and CD&amp;R partner to fuel Opella’s ambitions in consumer healthcare — publié le 2024-10-21 — Communiqué, paragraphe « The valuation of Opella… » — https://www.sanofi.com/en/media-room/press-releases/2024/2024-10-21-05-30-00-2965875 — consultée le 2026-07-29</t>
  </si>
  <si>
    <t>S2</t>
  </si>
  <si>
    <t>Sanofi — closing de la transaction Opella — organisme : Sanofi — document : Sanofi and CD&amp;R close Opella transaction, create global consumer healthcare leader — publication : 2025-04-30 — date de valeur 2025-04-30, consultée le 2026-07-29 — périmètre : Closing et actionnariat au 30 avril 2025 — localisation : Communiqué, premiers paragraphes — statut : public / primary — fait utilisé : closing, participations CD&amp;R 50,0 % / Sanofi 48,2 % / Bpifrance 1,8 %, origine du calendrier — référence exacte : Sanofi — Sanofi and CD&amp;R close Opella transaction, create global consumer healthcare leader — publié le 2025-04-30 — Communiqué, premiers paragraphes — https://www.sanofi.com/en/media-room/press-releases/2025/2025-04-30-11-00-00-3071167 — consultée le 2026-07-29</t>
  </si>
  <si>
    <t>S3</t>
  </si>
  <si>
    <t>Opella et Sanofi — recoupements officiels du closing et du périmètre — organisme : Opella / Sanofi — document : Communiqué Day One et Annual Report on Form 20-F 2024 — publication : 2025-04-30 — date de valeur 2025-04-30, consultée le 2026-07-29 — périmètre : Closing ; périmètre de reporting et périmètre juridique transféré — localisation : Day One p. 1 ; Form 20-F pp. 32–33, p. 60 et note D.35 pp. F-94–F-95 — statut : recoupement public / cross-check — fait utilisé : Recoupement du closing, de l’actionnariat et des limites de comparabilité ; aucune valeur autonome du modèle — référence exacte : Opella — Opella devient indépendante pour redéfinir l’avenir de la santé du quotidien — publié le 2025-04-30 — Page 1, paragraphe d’ouverture — https://www.opella.com/dam/jcr%3A85e538d4-c944-4d64-9298-95fb4882b01e/20250430_Opella_Day%201%20PR_FR.pdf — consultée le 2026-07-29 ; Sanofi — Annual Report on Form 20-F 2024 — publié le 2025-02-13 — Pages 32–33, page 60 et note D.35, pages F-94–F-95 — https://www.sanofi.com/assets/dotcom/content-app/publications/annual-report-on-form-20-f/2024-01-01-form-20-f-2024-en.pdf — consultée le 2026-07-29</t>
  </si>
  <si>
    <t>S4</t>
  </si>
  <si>
    <t>Modèle Opella — hypothèses illustratives — organisme : Modèle Opella — document : Hypothèses illustratives du générateur canonique — publication : 2026-07-08 — date de valeur 2026-07-08, consultée le 2026-07-29 — périmètre : Scénario illustratif P0–P5 — localisation : Transaction Services/build_carveout.py — paramètres M1 à M7 — statut : estimation / internal — fait utilisé : Trajectoire, allocations, coûts stand-alone, TSA, one-offs, bridge cash et contrefactuel ; aucune publication externe — référence exacte : Modèle Opella — Hypothèses internes portées par le générateur canonique — publié le 2026-07-08 — Paramètres M1 à M7 — Transaction Services/build_carveout.py — consultée le 2026-07-29</t>
  </si>
  <si>
    <t>S5</t>
  </si>
  <si>
    <t>Sanofi — résultats FY2024 — organisme : Sanofi — document : Q4 and FY 2024 financial results — publication : 2025-01-30 — date de valeur 2024-12-31, consultée le 2026-07-29 — périmètre : FY2024 ; nouveau périmètre de reporting — localisation : Page 10, paragraphe « Opella » — statut : public / primary — fait utilisé : Chiffre d’affaires Opella FY2024 de 4 948 M€ selon le nouveau périmètre de reporting — référence exacte : Sanofi — Q4 and FY 2024 financial results — publié le 2025-01-30 — Page 10, paragraphe « Opella » — https://www.sanofi.com/assets/dotcom/pressreleases/2025/2025-01-30-06-30-00-3017713-en.pdf — consultée le 2026-07-29</t>
  </si>
  <si>
    <t>S6</t>
  </si>
  <si>
    <t>Opella — périmètre opérationnel et marques — organisme : Opella — document : Official Opella evidence bundle — operational footprint and brands — publication : not-stated — date de valeur 2026-08-11, consultée le 2026-08-11 — périmètre : Périmètre opérationnel et portefeuille de marques au 11/08/2026 — localisation : Investors — “Who we are” and “Key figures”; Meet Opella — “Our leaders” &gt; “Rafik Amrane”; 7 July 2026 press release — “About Opella” — statut : public / primary — fait utilisé : Environ 100 marques ; 500 millions de consommateurs ; 11 000+ salariés ; 90+ nationalités ; 38 pays en direct ; environ 110 pays servis indirectement ; 13 sites industriels ; 4 centres spécialisés ; 5 000+ professionnels Manufacturing &amp; Supply ; marques Allegra, Buscopan, Doliprane, Dulcolax, Enterogermina, Essentiale et Mucosolvan — référence exacte : Opella — Investors — Key figures — publié le not-stated — Sections “Who we are” and “Key figures” — https://www.opella.com/en/investors — consultée le 2026-08-11 ; Opella — Meet Opella — publié le not-stated — Section “Our leaders”, profile “Rafik Amrane” — https://www.opella.com/en/meet-opella — consultée le 2026-08-11 ; Opella — Experts call for earlier recognition of fatty liver disease in people living with obesity — publié le 2026-07-07 — Section “About Opella”, second paragraph — https://www.opella.com/en/making-headlines/breaking-news/2026-essentiale-economics-obesity-metabolic-health-summit — consultée le 2026-08-11</t>
  </si>
  <si>
    <t>FILIATION SOURCE → HYPOTHÈSE/CELLULE → FORMULE → OUTPUT</t>
  </si>
  <si>
    <t>Hypothèses / cellules</t>
  </si>
  <si>
    <t>Formules</t>
  </si>
  <si>
    <t>Outputs</t>
  </si>
  <si>
    <t>Sources</t>
  </si>
  <si>
    <t>LN-L-EBITDA</t>
  </si>
  <si>
    <t>m1.revenue = Hypothèses!C6 ; m1.margin = Hypothèses!C8</t>
  </si>
  <si>
    <t>R-PERIM</t>
  </si>
  <si>
    <t>m1.ebitda @ Hypothèses!C9 ; m7.inventory[L-EBITDA] @ 'M6 Bridge'!H6</t>
  </si>
  <si>
    <t>S1, S4, S5</t>
  </si>
  <si>
    <t>LN-ENTRY-MULTIPLE</t>
  </si>
  <si>
    <t>m1.enterpriseValue = Hypothèses!C10 ; m1.ebitda = Hypothèses!C9</t>
  </si>
  <si>
    <t>R-MULT</t>
  </si>
  <si>
    <t>m1.entryMultiple @ Hypothèses!C11</t>
  </si>
  <si>
    <t>LN-OWNERSHIP</t>
  </si>
  <si>
    <t>m1.ownership.cdr = Hypothèses!C12 ; m1.ownership.sanofi = Hypothèses!C13 ; m1.ownership.bpifrance = Hypothèses!C14</t>
  </si>
  <si>
    <t>R-OWN</t>
  </si>
  <si>
    <t>m1.ownership.total @ Hypothèses!C15</t>
  </si>
  <si>
    <t>LN-O-RUNRATE</t>
  </si>
  <si>
    <t>m3.functions[F-IT].runRate = 'M3 Stand-alone'!C11 ; m3.functions[F-SUP].runRate = 'M3 Stand-alone'!C12 ; m3.functions[F-DIS].runRate = 'M3 Stand-alone'!C13 ; m3.functions[F-QUA].runRate = 'M3 Stand-alone'!C14</t>
  </si>
  <si>
    <t>R-RAMP, R-STANDALONE</t>
  </si>
  <si>
    <t>outputs.O-RUNRATE @ 'M3 Stand-alone'!C15</t>
  </si>
  <si>
    <t>LN-O-SEPCOST</t>
  </si>
  <si>
    <t>m4.services[T-IT].monthly = 'M4 TSA'!C6 ; m4.services[T-SC].monthly = 'M4 TSA'!C7 ; m4.services[T-FIN].monthly = 'M4 TSA'!C8 ; m4.services[T-REG].monthly = 'M4 TSA'!C9 ; m4.services[T-OTH].monthly = 'M4 TSA'!C10 ; m5.lines[O-IT].P1 = 'M5 One-offs'!D6 ; m5.lines[O-IT].P2 = 'M5 One-offs'!E6 ; m5.lines[O-IT].P3 = 'M5 One-offs'!F6 ; m5.lines[O-IT].P4 = 'M5 One-offs'!G6 ; m5.lines[O-IT].P5 = 'M5 One-offs'!H6 ; m5.lines[O-LEG].P1 = 'M5 One-offs'!D7 ; m5.lines[O-LEG].P2 = 'M5 One-offs'!E7 ; m5.lines[O-LEG].P3 = 'M5 One-offs'!F7 ; m5.lines[O-LEG].P4 = 'M5 One-offs'!G7 ; m5.lines[O-LEG].P5 = 'M5 One-offs'!H7 ; m5.lines[O-BRD].P1 = 'M5 One-offs'!D8 ; m5.lines[O-BRD].P2 = 'M5 One-offs'!E8 ; m5.lines[O-BRD].P3 = 'M5 One-offs'!F8 ; m5.lines[O-BRD].P4 = 'M5 One-offs'!G8 ; m5.lines[O-BRD].P5 = 'M5 One-offs'!H8 ; m5.lines[O-HR].P1 = 'M5 One-offs'!D9 ; m5.lines[O-HR].P2 = 'M5 One-offs'!E9 ; m5.lines[O-HR].P3 = 'M5 One-offs'!F9 ; m5.lines[O-HR].P4 = 'M5 One-offs'!G9 ; m5.lines[O-HR].P5 = 'M5 One-offs'!H9 ; m5.lines[O-SC].P1 = 'M5 One-offs'!D10 ; m5.lines[O-SC].P2 = 'M5 One-offs'!E10 ; m5.lines[O-SC].P3 = 'M5 One-offs'!F10 ; m5.lines[O-SC].P4 = 'M5 One-offs'!G10 ; m5.lines[O-SC].P5 = 'M5 One-offs'!H10 ; m5.lines[O-ADV].P1 = 'M5 One-offs'!D11 ; m5.lines[O-ADV].P2 = 'M5 One-offs'!E11 ; m5.lines[O-ADV].P3 = 'M5 One-offs'!F11 ; m5.lines[O-ADV].P4 = 'M5 One-offs'!G11 ; m5.lines[O-ADV].P5 = 'M5 One-offs'!H11 ; m6.L-SEPCAPEX.P1 = 'M6 Bridge'!D23 ; m6.L-SEPCAPEX.P2 = 'M6 Bridge'!E23 ; m6.L-SEPCAPEX.P3 = 'M6 Bridge'!F23 ; m6.L-SEPCAPEX.P4 = 'M6 Bridge'!G23 ; m6.L-SEPCAPEX.P5 = 'M6 Bridge'!H23</t>
  </si>
  <si>
    <t>R-TSA-SUM, R-ONEOFF-SUM, R-SEPCOST</t>
  </si>
  <si>
    <t>outputs.O-SEPCOST @ 'M6 Bridge'!C34</t>
  </si>
  <si>
    <t>LN-O-PEAK</t>
  </si>
  <si>
    <t>m6.cash.P1 = 'M6 Bridge'!D31 ; m6.cash.P2 = 'M6 Bridge'!E31 ; m6.cash.P3 = 'M6 Bridge'!F31 ; m6.cash.P4 = 'M6 Bridge'!G31 ; m6.cash.P5 = 'M6 Bridge'!H31 ; m7.counterfactual.cash.P1 = 'M7 Financement'!C15 ; m7.counterfactual.cash.P2 = 'M7 Financement'!D15 ; m7.counterfactual.cash.P3 = 'M7 Financement'!E15 ; m7.counterfactual.cash.P4 = 'M7 Financement'!F15 ; m7.counterfactual.cash.P5 = 'M7 Financement'!G15</t>
  </si>
  <si>
    <t>R-CASH, R-CF, R-FUNDING-CUM, R-PEAK</t>
  </si>
  <si>
    <t>outputs.O-PEAK.value @ 'M7 Financement'!C71 ; outputs.O-PEAK.period @ 'M7 Financement'!C72</t>
  </si>
  <si>
    <t>LN-O-STEADY</t>
  </si>
  <si>
    <t>m3.functions[F-IT].ramp.P1 = 'M3 Stand-alone'!E6 ; m3.functions[F-IT].ramp.P2 = 'M3 Stand-alone'!F6 ; m3.functions[F-IT].ramp.P3 = 'M3 Stand-alone'!G6 ; m3.functions[F-IT].ramp.P4 = 'M3 Stand-alone'!H6 ; m3.functions[F-IT].ramp.P5 = 'M3 Stand-alone'!I6 ; m3.functions[F-SUP].ramp.P1 = 'M3 Stand-alone'!E7 ; m3.functions[F-SUP].ramp.P2 = 'M3 Stand-alone'!F7 ; m3.functions[F-SUP].ramp.P3 = 'M3 Stand-alone'!G7 ; m3.functions[F-SUP].ramp.P4 = 'M3 Stand-alone'!H7 ; m3.functions[F-SUP].ramp.P5 = 'M3 Stand-alone'!I7 ; m3.functions[F-DIS].ramp.P1 = 'M3 Stand-alone'!E8 ; m3.functions[F-DIS].ramp.P2 = 'M3 Stand-alone'!F8 ; m3.functions[F-DIS].ramp.P3 = 'M3 Stand-alone'!G8 ; m3.functions[F-DIS].ramp.P4 = 'M3 Stand-alone'!H8 ; m3.functions[F-DIS].ramp.P5 = 'M3 Stand-alone'!I8 ; m3.functions[F-QUA].ramp.P1 = 'M3 Stand-alone'!E9 ; m3.functions[F-QUA].ramp.P2 = 'M3 Stand-alone'!F9 ; m3.functions[F-QUA].ramp.P3 = 'M3 Stand-alone'!G9 ; m3.functions[F-QUA].ramp.P4 = 'M3 Stand-alone'!H9 ; m3.functions[F-QUA].ramp.P5 = 'M3 Stand-alone'!I9 ; m4.byPeriod.P1 = 'M4 TSA'!J11 ; m4.byPeriod.P2 = 'M4 TSA'!K11 ; m4.byPeriod.P3 = 'M4 TSA'!L11 ; m4.byPeriod.P4 = 'M4 TSA'!M11 ; m4.byPeriod.P5 = 'M4 TSA'!N11 ; m5.byPeriod.P1 = 'M5 One-offs'!D12 ; m5.byPeriod.P2 = 'M5 One-offs'!E12 ; m5.byPeriod.P3 = 'M5 One-offs'!F12 ; m5.byPeriod.P4 = 'M5 One-offs'!G12 ; m5.byPeriod.P5 = 'M5 One-offs'!H12</t>
  </si>
  <si>
    <t>R-RAMP, R-TSA-SUM, R-ONEOFF-SUM, R-STEADY</t>
  </si>
  <si>
    <t>outputs.O-STEADY @ Calendrier!C14</t>
  </si>
  <si>
    <t>LN-O-RESORB</t>
  </si>
  <si>
    <t>m7.periods[P5].need = 'M7 Financement'!G64 ; m7.periods[P5].eGap = 'M7 Financement'!G38 ; m7.periods[P5].nOneOff = 'M7 Financement'!G56 ; m7.horizon.delta = 'M7 Financement'!C74</t>
  </si>
  <si>
    <t>R-EGAP, R-NPONC, R-RECUR, R-RESORB, R-PK</t>
  </si>
  <si>
    <t>outputs.O-RESORB.state @ 'M7 Financement'!C76</t>
  </si>
  <si>
    <t>CALENDRIER ET CONVENTIONS DE PÉRIODE (§4)</t>
  </si>
  <si>
    <t>Période</t>
  </si>
  <si>
    <t>Libellé</t>
  </si>
  <si>
    <t>Début</t>
  </si>
  <si>
    <t>Fin</t>
  </si>
  <si>
    <t>Mois</t>
  </si>
  <si>
    <t>Rôle</t>
  </si>
  <si>
    <t>P0</t>
  </si>
  <si>
    <t>FY2024</t>
  </si>
  <si>
    <t>2024-01-01</t>
  </si>
  <si>
    <t>2024-12-31</t>
  </si>
  <si>
    <t>base vendeur, avant séparation</t>
  </si>
  <si>
    <t>P1</t>
  </si>
  <si>
    <t>Mai–déc. 2025</t>
  </si>
  <si>
    <t>2025-05-01</t>
  </si>
  <si>
    <t>2025-12-31</t>
  </si>
  <si>
    <t>stub post-closing</t>
  </si>
  <si>
    <t>P2</t>
  </si>
  <si>
    <t>FY2026</t>
  </si>
  <si>
    <t>2026-01-01</t>
  </si>
  <si>
    <t>2026-12-31</t>
  </si>
  <si>
    <t>transition</t>
  </si>
  <si>
    <t>P3</t>
  </si>
  <si>
    <t>FY2027</t>
  </si>
  <si>
    <t>2027-01-01</t>
  </si>
  <si>
    <t>2027-12-31</t>
  </si>
  <si>
    <t>première année candidate au régime établi</t>
  </si>
  <si>
    <t>P4</t>
  </si>
  <si>
    <t>FY2028</t>
  </si>
  <si>
    <t>2028-01-01</t>
  </si>
  <si>
    <t>2028-12-31</t>
  </si>
  <si>
    <t>année civile ouverte par la règle 4 du §4</t>
  </si>
  <si>
    <t>P5</t>
  </si>
  <si>
    <t>FY2029</t>
  </si>
  <si>
    <t>2029-01-01</t>
  </si>
  <si>
    <t>2029-12-31</t>
  </si>
  <si>
    <t>Closing</t>
  </si>
  <si>
    <t>2025-04-30</t>
  </si>
  <si>
    <t>maxHorizon</t>
  </si>
  <si>
    <t>dernière période modélisée : régime établi + une période de confirmation (§4, règle 4)</t>
  </si>
  <si>
    <t>output daté : première période sans TSA, sans one-off, à run-rate plein (§4, règle 3)</t>
  </si>
  <si>
    <t>CONVERSION DES MOIS CONTRACTUELS DE TSA (§4, règle 2)</t>
  </si>
  <si>
    <t>Service</t>
  </si>
  <si>
    <t>Durée (mois)</t>
  </si>
  <si>
    <t>Somme des mois</t>
  </si>
  <si>
    <t>Écart R-TSA-CAL</t>
  </si>
  <si>
    <t>IT (ERP, infrastructure, support)</t>
  </si>
  <si>
    <t>Supply chain et logistique</t>
  </si>
  <si>
    <t>Finance (comptabilité, paie, fiscalité)</t>
  </si>
  <si>
    <t>Réglementaire et pharmacovigilance</t>
  </si>
  <si>
    <t>Autres (immobilier, achats)</t>
  </si>
  <si>
    <t>HYPOTHÈSES ET ANCRAGES</t>
  </si>
  <si>
    <t>Poste</t>
  </si>
  <si>
    <t>Valeur</t>
  </si>
  <si>
    <t>Statut</t>
  </si>
  <si>
    <t>Source</t>
  </si>
  <si>
    <t>Driver et justification</t>
  </si>
  <si>
    <t>M1 — Périmètre et ancrages</t>
  </si>
  <si>
    <t>Chiffre d'affaires FY2024 publié retenu par le modèle (M€)</t>
  </si>
  <si>
    <t>public</t>
  </si>
  <si>
    <t>CA de 4 948 M€ publié par Sanofi selon son nouveau périmètre de reporting</t>
  </si>
  <si>
    <t>Chiffre d'affaires FY2024 publié par Sanofi (M€)</t>
  </si>
  <si>
    <t>résultats FY2024 Sanofi, p. 10, nouveau périmètre de reporting</t>
  </si>
  <si>
    <t>Marge d'EBITDA implicite du modèle</t>
  </si>
  <si>
    <t>calculé</t>
  </si>
  <si>
    <t>S1+S5</t>
  </si>
  <si>
    <t>proxy EBITDA implicite ÷ CA FY2024 publié ; cette marge n'est pas publiée</t>
  </si>
  <si>
    <t>EBITDA 2024E implicite de transaction (M€)</t>
  </si>
  <si>
    <t>proxy implicite des ancrages publics ≈16 Md€ / ≈14x ; montant non publié séparément</t>
  </si>
  <si>
    <t>Valeur d'entreprise de la transaction (M€)</t>
  </si>
  <si>
    <t>communiqué Sanofi du 21/10/2024 — valeur d'entreprise d'environ 16 Md€</t>
  </si>
  <si>
    <t>Multiple d'EBITDA estimé 2024 annoncé</t>
  </si>
  <si>
    <t>Sanofi annonce environ 14x ; R-MULT réconcilie EV ÷ EBITDA implicite sans changer le moteur</t>
  </si>
  <si>
    <t>Participation CD&amp;R</t>
  </si>
  <si>
    <t>communiqué de closing du 30/04/2025</t>
  </si>
  <si>
    <t>Participation Sanofi (conservée)</t>
  </si>
  <si>
    <t>Participation Bpifrance</t>
  </si>
  <si>
    <t>Somme des participations</t>
  </si>
  <si>
    <t>R-OWN : doit valoir 100 %</t>
  </si>
  <si>
    <t>Trajectoire opérationnelle</t>
  </si>
  <si>
    <t>Croissance annuelle du CA</t>
  </si>
  <si>
    <t>estimation</t>
  </si>
  <si>
    <t>croissance du marché CHC ; piloté par le levier S-OPS</t>
  </si>
  <si>
    <t>Expansion de marge (pts par an)</t>
  </si>
  <si>
    <t>mix et pricing ; piloté par le levier S-OPS</t>
  </si>
  <si>
    <t>M2 — Allocations vendeur</t>
  </si>
  <si>
    <t>Allocations vendeur réintégrées (part du CA)</t>
  </si>
  <si>
    <t>les coûts de siège alloués par Sanofi cessent au closing ; driver déclaré : le CA</t>
  </si>
  <si>
    <t>M6 — Paramètres du bridge EBITDA → cash</t>
  </si>
  <si>
    <t>Taux d'impôt cash effectif</t>
  </si>
  <si>
    <t>proxy après amortissements ; appliqué séparément à la base récurrente et aux coûts de séparation</t>
  </si>
  <si>
    <t>Capex courant (part du CA)</t>
  </si>
  <si>
    <t>capex d'exploitation, distinct du capex de séparation</t>
  </si>
  <si>
    <t>BFR courant (part du CA incrémental)</t>
  </si>
  <si>
    <t>besoin en fonds de roulement absorbé par la croissance</t>
  </si>
  <si>
    <t>Autres éléments cash déclarés (par période, M€)</t>
  </si>
  <si>
    <t>à confirmer</t>
  </si>
  <si>
    <t>poste déclaré nul en base ; entrée de diligence ouverte (§12)</t>
  </si>
  <si>
    <t>Surcoût du mois de TSA prolongé</t>
  </si>
  <si>
    <t>prolongation traitée comme un levier de scénario, jamais comme une hypothèse de base</t>
  </si>
  <si>
    <t>M3 — COÛTS STAND-ALONE RÉCURRENTS PAR FONCTION (M€)</t>
  </si>
  <si>
    <t>Coût appliqué = run-rate × taux de montée en charge de la période, borné à [0 ; 1] (R-RAMP). Aucun coût récurrent n'est appliqué à P0.</t>
  </si>
  <si>
    <t>Fonction</t>
  </si>
  <si>
    <t>Run-rate cible</t>
  </si>
  <si>
    <t>Driver</t>
  </si>
  <si>
    <t>IT et infrastructure — montée en charge</t>
  </si>
  <si>
    <t>ERP, licences, hébergement, cybersécurité en propre</t>
  </si>
  <si>
    <t>Fonctions support (finance, RH, juridique) — montée en charge</t>
  </si>
  <si>
    <t>équipes siège à recréer, sortie des centres de services Sanofi</t>
  </si>
  <si>
    <t>Distribution et achats — montée en charge</t>
  </si>
  <si>
    <t>perte de mutualisation des contrats groupe</t>
  </si>
  <si>
    <t>Qualité, réglementaire, pharmacovigilance — montée en charge</t>
  </si>
  <si>
    <t>licences et équipes dédiées imposées par la réglementation</t>
  </si>
  <si>
    <t>Coûts stand-alone — IT et infrastructure</t>
  </si>
  <si>
    <t>Coûts stand-alone — Fonctions support (finance, RH, juridique)</t>
  </si>
  <si>
    <t>Coûts stand-alone — Distribution et achats</t>
  </si>
  <si>
    <t>Coûts stand-alone — Qualité, réglementaire, pharmacovigilance</t>
  </si>
  <si>
    <t>Total coûts stand-alone appliqués</t>
  </si>
  <si>
    <t>M4 — TSA PAR SERVICE (M€ et mois contractuels)</t>
  </si>
  <si>
    <t>Le mois 1 est mai 2025. La fenêtre de double run est la période où le service TSA et la capacité interne qui le remplace tournent ensemble ; elle est datée, jamais implicite.</t>
  </si>
  <si>
    <t>Coût mensuel</t>
  </si>
  <si>
    <t>Début (mois)</t>
  </si>
  <si>
    <t>Durée contractuelle</t>
  </si>
  <si>
    <t>Sortie prévue (mois)</t>
  </si>
  <si>
    <t>Prolongation dispo.</t>
  </si>
  <si>
    <t>Double run (mois)</t>
  </si>
  <si>
    <t>Stratégie de sortie</t>
  </si>
  <si>
    <t>ERP en propre puis infogérance</t>
  </si>
  <si>
    <t>reprise des contrats 3PL en direct</t>
  </si>
  <si>
    <t>internalisation et centre de services</t>
  </si>
  <si>
    <t>équipes dédiées, contrainte de licences</t>
  </si>
  <si>
    <t>baux directs et contrats cadres propres</t>
  </si>
  <si>
    <t>Total TSA</t>
  </si>
  <si>
    <t>M5 — ONE-OFFS PAR NATURE ET PAR PÉRIODE (M€)</t>
  </si>
  <si>
    <t>Une ligne par nature et par période d'engagement. Aucun forfait global réparti par pourcentage.</t>
  </si>
  <si>
    <t>Nature</t>
  </si>
  <si>
    <t>Total</t>
  </si>
  <si>
    <t>Séparation IT (migration ERP, données, réseaux)</t>
  </si>
  <si>
    <t>Mise en place des entités juridiques</t>
  </si>
  <si>
    <t>Marque et packaging (rebranding)</t>
  </si>
  <si>
    <t>Ressources humaines (transferts, rétention)</t>
  </si>
  <si>
    <t>Requalification supply chain (sites, licences)</t>
  </si>
  <si>
    <t>Conseils (juridique, financier, intégration)</t>
  </si>
  <si>
    <t>Total one-offs</t>
  </si>
  <si>
    <t>M6 — BRIDGE EBITDA → CASH, PAR PÉRIODE (M€, registre comptable)</t>
  </si>
  <si>
    <t>Chaque ligne porte sa convention de signe : une charge est négative. Les métadonnées de droite font de chaque ligne un élément qualifiable de l'inventaire du §6.1.2.</t>
  </si>
  <si>
    <t>Ligne du bridge</t>
  </si>
  <si>
    <t>Module</t>
  </si>
  <si>
    <t>Groupe</t>
  </si>
  <si>
    <t>Côté</t>
  </si>
  <si>
    <t>Qualification</t>
  </si>
  <si>
    <t>Fin décl.</t>
  </si>
  <si>
    <t>L-REC</t>
  </si>
  <si>
    <t>EBITDA périmètre (tel qu'alloué par le vendeur)</t>
  </si>
  <si>
    <t>M1</t>
  </si>
  <si>
    <t>L-M6OTH</t>
  </si>
  <si>
    <t>cas</t>
  </si>
  <si>
    <t>récurrent</t>
  </si>
  <si>
    <t>—</t>
  </si>
  <si>
    <t>CA de la période × marge périmètre ; deux hypothèses S4, non publiées par S1</t>
  </si>
  <si>
    <t>Allocations vendeur réintégrées</t>
  </si>
  <si>
    <t>M2</t>
  </si>
  <si>
    <t>1.60% du CA de la période</t>
  </si>
  <si>
    <t>M3</t>
  </si>
  <si>
    <t>L-M3</t>
  </si>
  <si>
    <t>TSA — IT (ERP, infrastructure, support)</t>
  </si>
  <si>
    <t>M4</t>
  </si>
  <si>
    <t>L-M4</t>
  </si>
  <si>
    <t>ponctuel</t>
  </si>
  <si>
    <t>2.10 M€/mois × mois contractuels affectés</t>
  </si>
  <si>
    <t>TSA — Supply chain et logistique</t>
  </si>
  <si>
    <t>1.25 M€/mois × mois contractuels affectés</t>
  </si>
  <si>
    <t>TSA — Finance (comptabilité, paie, fiscalité)</t>
  </si>
  <si>
    <t>0.85 M€/mois × mois contractuels affectés</t>
  </si>
  <si>
    <t>TSA — Réglementaire et pharmacovigilance</t>
  </si>
  <si>
    <t>0.50 M€/mois × mois contractuels affectés</t>
  </si>
  <si>
    <t>TSA — Autres (immobilier, achats)</t>
  </si>
  <si>
    <t>0.30 M€/mois × mois contractuels affectés</t>
  </si>
  <si>
    <t>One-off — Séparation IT (migration ERP, données, réseaux)</t>
  </si>
  <si>
    <t>M5</t>
  </si>
  <si>
    <t>L-M5</t>
  </si>
  <si>
    <t>montant engagé sur la période</t>
  </si>
  <si>
    <t>One-off — Mise en place des entités juridiques</t>
  </si>
  <si>
    <t>One-off — Marque et packaging (rebranding)</t>
  </si>
  <si>
    <t>One-off — Ressources humaines (transferts, rétention)</t>
  </si>
  <si>
    <t>One-off — Requalification supply chain (sites, licences)</t>
  </si>
  <si>
    <t>One-off — Conseils (juridique, financier, intégration)</t>
  </si>
  <si>
    <t>Capex de séparation</t>
  </si>
  <si>
    <t>M6</t>
  </si>
  <si>
    <t>L-M6SEP</t>
  </si>
  <si>
    <t>investissements dédiés à la séparation, distincts du capex courant</t>
  </si>
  <si>
    <t>BFR de séparation — constitution</t>
  </si>
  <si>
    <t>stocks de sécurité, décalage clients, perte des conditions groupe</t>
  </si>
  <si>
    <t>BFR de séparation — reprise</t>
  </si>
  <si>
    <t>oui</t>
  </si>
  <si>
    <t>normalisation des conditions de paiement et des stocks</t>
  </si>
  <si>
    <t>Impôts — effet des postes récurrents</t>
  </si>
  <si>
    <t>taux d'impôt cash effectif de 22% sur la base récurrente</t>
  </si>
  <si>
    <t>Impôts — effet des coûts de séparation</t>
  </si>
  <si>
    <t>taux d'impôt cash effectif de 22% sur TSA et one-offs</t>
  </si>
  <si>
    <t>Capex courant</t>
  </si>
  <si>
    <t>2.5% du CA de la période</t>
  </si>
  <si>
    <t>BFR courant</t>
  </si>
  <si>
    <t>15% du CA incrémental de la période</t>
  </si>
  <si>
    <t>Autres éléments cash déclarés</t>
  </si>
  <si>
    <t>poste déclaré nul en base ; entrée de diligence ouverte</t>
  </si>
  <si>
    <t>Cash de la période (R-CASH)</t>
  </si>
  <si>
    <t>EBITDA stand-alone en run-rate (R-STANDALONE)</t>
  </si>
  <si>
    <t>EBITDA périmètre + allocations réintégrées + total des coûts par fonction de M3, à la borne</t>
  </si>
  <si>
    <t>O-SEPCOST — coût total de séparation (R-SEPCOST)</t>
  </si>
  <si>
    <t>TSA + one-offs + capex de séparation sur tout l'horizon, publié en coût positif. Le BFR de séparation en est exclu : c'est un besoin de trésorerie temporaire, porté par O-PEAK (§6.2).</t>
  </si>
  <si>
    <t>M7 — BESOIN DE FINANCEMENT DE SÉPARATION</t>
  </si>
  <si>
    <t>Le besoin est l'écart cumulé de cash entre la trajectoire avec séparation et le contrefactuel déclaré ci-dessous. Il est publié en montant positif : une ligne du cas contribue pour −montant, une ligne du contrefactuel pour +montant.</t>
  </si>
  <si>
    <t>CONTREFACTUEL DÉCLARÉ — SANS SÉPARATION (R-CF)</t>
  </si>
  <si>
    <t>Opella reste dans le périmètre du vendeur : les allocations corporate continuent d'être supportées, aucun coût stand-alone propre, aucune TSA, aucun one-off, aucun capex ni BFR de séparation. Même trajectoire de CA et de marge que le cas.</t>
  </si>
  <si>
    <t>Ligne du contrefactuel</t>
  </si>
  <si>
    <t>EBITDA périmètre (maintien dans le groupe)</t>
  </si>
  <si>
    <t>même trajectoire de CA et de marge que le cas</t>
  </si>
  <si>
    <t>Impôts (contrefactuel)</t>
  </si>
  <si>
    <t>même taux effectif de 22%, base sans séparation</t>
  </si>
  <si>
    <t>Capex courant (contrefactuel)</t>
  </si>
  <si>
    <t>capex courant inchangé par la séparation</t>
  </si>
  <si>
    <t>BFR courant (contrefactuel)</t>
  </si>
  <si>
    <t>BFR d'exploitation inchangé par la séparation</t>
  </si>
  <si>
    <t>Autres éléments cash déclarés (contrefactuel)</t>
  </si>
  <si>
    <t>miroir du poste déclaré du cas</t>
  </si>
  <si>
    <t>Cash du contrefactuel</t>
  </si>
  <si>
    <t>INVENTAIRE DES CONTRIBUTIONS AU FLUX DE BESOIN (§6.1.2)</t>
  </si>
  <si>
    <t>Contribution d'une ligne du cas : −montant. Contribution d'une ligne du contrefactuel : +montant. L'inventaire est exhaustif : s(Pt) = Σ L-CF(Pt) − Σ L-CASE(Pt).</t>
  </si>
  <si>
    <t>Ligne de l'inventaire</t>
  </si>
  <si>
    <t>Sous-ensemble récurrent — E(Pt)</t>
  </si>
  <si>
    <t>EBITDA périmètre (tel qu'alloué par le vendeur) (cas)</t>
  </si>
  <si>
    <t>Allocations vendeur réintégrées (cas)</t>
  </si>
  <si>
    <t>Coûts stand-alone — IT et infrastructure (cas)</t>
  </si>
  <si>
    <t>Coûts stand-alone — Fonctions support (finance, RH, juridique) (cas)</t>
  </si>
  <si>
    <t>Coûts stand-alone — Distribution et achats (cas)</t>
  </si>
  <si>
    <t>Coûts stand-alone — Qualité, réglementaire, pharmacovigilance (cas)</t>
  </si>
  <si>
    <t>Impôts — effet des postes récurrents (cas)</t>
  </si>
  <si>
    <t>Capex courant (cas)</t>
  </si>
  <si>
    <t>BFR courant (cas)</t>
  </si>
  <si>
    <t>Autres éléments cash déclarés (cas)</t>
  </si>
  <si>
    <t>EBITDA périmètre (maintien dans le groupe) (contrefactuel)</t>
  </si>
  <si>
    <t>contrefactuel</t>
  </si>
  <si>
    <t>L-CF</t>
  </si>
  <si>
    <t>Impôts (contrefactuel) (contrefactuel)</t>
  </si>
  <si>
    <t>Capex courant (contrefactuel) (contrefactuel)</t>
  </si>
  <si>
    <t>BFR courant (contrefactuel) (contrefactuel)</t>
  </si>
  <si>
    <t>Autres éléments cash déclarés (contrefactuel) (contrefactuel)</t>
  </si>
  <si>
    <t>E(Pt) — écart récurrent (R-EGAP)</t>
  </si>
  <si>
    <t>Sous-ensemble ponctuel — N(Pt)</t>
  </si>
  <si>
    <t>TSA — IT (ERP, infrastructure, support) (cas)</t>
  </si>
  <si>
    <t>TSA — Supply chain et logistique (cas)</t>
  </si>
  <si>
    <t>TSA — Finance (comptabilité, paie, fiscalité) (cas)</t>
  </si>
  <si>
    <t>TSA — Réglementaire et pharmacovigilance (cas)</t>
  </si>
  <si>
    <t>TSA — Autres (immobilier, achats) (cas)</t>
  </si>
  <si>
    <t>One-off — Séparation IT (migration ERP, données, réseaux) (cas)</t>
  </si>
  <si>
    <t>One-off — Mise en place des entités juridiques (cas)</t>
  </si>
  <si>
    <t>One-off — Marque et packaging (rebranding) (cas)</t>
  </si>
  <si>
    <t>One-off — Ressources humaines (transferts, rétention) (cas)</t>
  </si>
  <si>
    <t>One-off — Requalification supply chain (sites, licences) (cas)</t>
  </si>
  <si>
    <t>One-off — Conseils (juridique, financier, intégration) (cas)</t>
  </si>
  <si>
    <t>Capex de séparation (cas)</t>
  </si>
  <si>
    <t>BFR de séparation — constitution (cas)</t>
  </si>
  <si>
    <t>BFR de séparation — reprise (cas)</t>
  </si>
  <si>
    <t>Impôts — effet des coûts de séparation (cas)</t>
  </si>
  <si>
    <t>N(Pt) — part ponctuelle (R-NPONC)</t>
  </si>
  <si>
    <t>GRANDEURS DU §6.1</t>
  </si>
  <si>
    <t>Grandeur</t>
  </si>
  <si>
    <t>c(Pt) — écart de cash contre contrefactuel</t>
  </si>
  <si>
    <t>s(Pt) — flux de besoin de la période</t>
  </si>
  <si>
    <t>S(Pt) — solde économique brut cumulé</t>
  </si>
  <si>
    <t>B(Pt) — besoin publié</t>
  </si>
  <si>
    <t>E(Pt) — rappel de l'écart récurrent</t>
  </si>
  <si>
    <t>N(Pt) — rappel de la part ponctuelle</t>
  </si>
  <si>
    <t>Contrôle s = E + N (R-RECUR, doit être nul)</t>
  </si>
  <si>
    <t>SORTIE DE PIC (§6.1.1)</t>
  </si>
  <si>
    <t>Pic de besoin de financement</t>
  </si>
  <si>
    <t>Date du pic — première période atteignant ce maximum</t>
  </si>
  <si>
    <t>Période de borne H</t>
  </si>
  <si>
    <t>Δ_H — variation économique de la dernière période</t>
  </si>
  <si>
    <t>Excédent résiduel −S(H) si S(H) &lt; 0</t>
  </si>
  <si>
    <t>État O-RESORB</t>
  </si>
  <si>
    <t>Pk — première période de la fenêtre finale de l'état</t>
  </si>
  <si>
    <t>sans objet</t>
  </si>
  <si>
    <t>absent pour « non résorbé à l'horizon » et « croissant à l'horizon » (R-PK)</t>
  </si>
  <si>
    <t>Lecture : l'état se lit sur deux grandeurs seulement, le niveau B_H et le signe de E_H. Δ_H est publié et ne classe pas. Le besoin de séparation n'est pas une dette : il est le cash que la séparation consomme et qu'il faut avoir prévu.</t>
  </si>
  <si>
    <t>RELATIONS CONTRÔLÉES (§5.2)</t>
  </si>
  <si>
    <t>Les tolérances sont déclarées dans opella_integration_manifest.json, jamais ici. Une comparaison symbolique déclare la tolérance « exact ».</t>
  </si>
  <si>
    <t>Énoncé contrôlé</t>
  </si>
  <si>
    <t>Écart mesuré</t>
  </si>
  <si>
    <t>Propriétaire</t>
  </si>
  <si>
    <t>EBITDA périmètre P0 = CA P0 × marge périmètre P0</t>
  </si>
  <si>
    <t>G1</t>
  </si>
  <si>
    <t>Multiple d'entrée implicite = EV ÷ EBITDA périmètre P0</t>
  </si>
  <si>
    <t>Somme des participations = 100 %</t>
  </si>
  <si>
    <t>R-STANDALONE</t>
  </si>
  <si>
    <t>EBITDA stand-alone run-rate = EBITDA périmètre + allocations réintégrées + total M3</t>
  </si>
  <si>
    <t>R-RAMP</t>
  </si>
  <si>
    <t>Coût appliqué = run-rate × montée en charge, taux borné à [0 ; 1]</t>
  </si>
  <si>
    <t>R-TSA-SUM</t>
  </si>
  <si>
    <t>Total TSA d'une période = somme des services de M4</t>
  </si>
  <si>
    <t>R-TSA-CAL</t>
  </si>
  <si>
    <t>Somme des mois affectés = durée contractuelle du service</t>
  </si>
  <si>
    <t>R-DOUBLERUN</t>
  </si>
  <si>
    <t>Fenêtre de double run ≥ 0 et incluse dans la durée du service</t>
  </si>
  <si>
    <t>R-ONEOFF-SUM</t>
  </si>
  <si>
    <t>Total one-offs = somme des lignes de M5</t>
  </si>
  <si>
    <t>R-CASH</t>
  </si>
  <si>
    <t>Cash de période = somme signée des lignes du bridge M6</t>
  </si>
  <si>
    <t>R-CF</t>
  </si>
  <si>
    <t>Contrefactuel unique et ligné : son cash = somme de ses lignes</t>
  </si>
  <si>
    <t>R-FUNDING-CUM</t>
  </si>
  <si>
    <t>s = −c ; S cumulé depuis 0 ; B = MAX(0 ; S), écrêtage appliqué une seule fois au cumul</t>
  </si>
  <si>
    <t>G2</t>
  </si>
  <si>
    <t>R-PEAK</t>
  </si>
  <si>
    <t>Aucun B négatif ; pic = MAX(B) ; date = première période atteignant ce maximum</t>
  </si>
  <si>
    <t>R-MONO</t>
  </si>
  <si>
    <t>Toute période de flux négatif s'explique par des lignes déclarées à contribution négative, sans résidu</t>
  </si>
  <si>
    <t>symbolique</t>
  </si>
  <si>
    <t>R-QUAL</t>
  </si>
  <si>
    <t>Qualification unique, cohérente avec le module d'origine, l'empreinte de période et la fin déclarée</t>
  </si>
  <si>
    <t>R-EGAP</t>
  </si>
  <si>
    <t>E(Pt) = somme ascendante des contributions des lignes récurrentes, jamais un résidu de s</t>
  </si>
  <si>
    <t>R-NPONC</t>
  </si>
  <si>
    <t>N(Pt) = somme ascendante des contributions des lignes ponctuelles, jamais un résidu de s</t>
  </si>
  <si>
    <t>R-RECUR</t>
  </si>
  <si>
    <t>s(Pt) = E(Pt) + N(Pt) sur chaque période de l'horizon</t>
  </si>
  <si>
    <t>R-RESORB</t>
  </si>
  <si>
    <t>État de sortie de pic selon la table de décision du §6.1.1 sur le niveau B_H et le signe de E_H</t>
  </si>
  <si>
    <t>R-PK</t>
  </si>
  <si>
    <t>Pk = plus petite période de la fenêtre finale de son état ; absent des deux autres états</t>
  </si>
  <si>
    <t>R-STEADY</t>
  </si>
  <si>
    <t>Date de régime établi = première période satisfaisant la règle 3 du §4</t>
  </si>
  <si>
    <t>R-SEPCOST</t>
  </si>
  <si>
    <t>O-SEPCOST = TSA + one-offs + capex de séparation, hors BFR de séparation</t>
  </si>
  <si>
    <t>SCÉNARIOS — QUATRE LEVIERS INDÉPENDANTS (§7)</t>
  </si>
  <si>
    <t>Valeurs recalculées par la même logique que le cas central : aucun tableau statique. Les états sont nommés basse, centrale et haute ; l'état par défaut est le cas central, atteignable sans interaction.</t>
  </si>
  <si>
    <t>Levier</t>
  </si>
  <si>
    <t>État</t>
  </si>
  <si>
    <t>O-RUNRATE</t>
  </si>
  <si>
    <t>O-SEPCOST</t>
  </si>
  <si>
    <t>O-PEAK</t>
  </si>
  <si>
    <t>Date du pic</t>
  </si>
  <si>
    <t>O-STEADY</t>
  </si>
  <si>
    <t>Coûts stand-alone récurrents</t>
  </si>
  <si>
    <t>basse</t>
  </si>
  <si>
    <t>centrale</t>
  </si>
  <si>
    <t>haute</t>
  </si>
  <si>
    <t>Retard de sortie de TSA</t>
  </si>
  <si>
    <t>P6</t>
  </si>
  <si>
    <t>One-offs</t>
  </si>
  <si>
    <t>Croissance et marge</t>
  </si>
  <si>
    <t>M8 — IMPLICATIONS ACQUÉREUR (ENCADRÉ SECONDAIRE, ILLUSTRATIF)</t>
  </si>
  <si>
    <t>Cette lecture secondaire présente cinq valeurs numériques, toutes issues de la même chaîne de chiffres que le cœur du cas. Elle ne calcule aucun retour sponsor : ni multiple de sortie, ni taux de rendement, ni grille de sensibilité de sortie.</t>
  </si>
  <si>
    <t>Levier d'entrée retenu (x EBITDA stand-alone)</t>
  </si>
  <si>
    <t>hypothèse « e » de financement large-cap</t>
  </si>
  <si>
    <t>EBITDA stand-alone en run-rate (M€)</t>
  </si>
  <si>
    <t>Dette d'acquisition implicite (M€)</t>
  </si>
  <si>
    <t>Chèque d'equity à l'entrée (M€)</t>
  </si>
  <si>
    <t>Sensibilité sommaire : effet d'un pic de besoin non financé</t>
  </si>
  <si>
    <t>le pic de besoin de séparation s'ajoute au chèque d'equity s'il n'est pas couvert par une ligne dédiée ; il n'est pas une dette d'acquisition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</si>
</sst>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&quot;-&quot;"/>
    <numFmt numFmtId="165" formatCode="0.00\x"/>
    <numFmt numFmtId="166" formatCode="#,##0.00;\(#,##0.00\);&quot;-&quot;"/>
  </numFmts>
  <fonts count="11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0"/>
      <color rgb="FF1F3864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8"/>
      <color rgb="FF808080"/>
      <name val="Arial"/>
    </font>
    <font>
      <i/>
      <sz val="9"/>
      <color rgb="FF595959"/>
      <name val="Arial"/>
    </font>
    <font>
      <b/>
      <sz val="10"/>
      <color rgb="FF00000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4" fillId="0" borderId="0" xfId="0" applyFont="1"/>
    <xf numFmtId="3" fontId="6" fillId="0" borderId="0" xfId="0" applyNumberFormat="1" applyFont="1"/>
    <xf numFmtId="0" fontId="7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 vertical="top"/>
    </xf>
    <xf numFmtId="3" fontId="4" fillId="0" borderId="0" xfId="0" applyNumberFormat="1" applyFont="1"/>
    <xf numFmtId="164" fontId="6" fillId="0" borderId="0" xfId="0" applyNumberFormat="1" applyFont="1"/>
    <xf numFmtId="0" fontId="7" fillId="0" borderId="0" xfId="0" applyFont="1" applyAlignment="1">
      <alignment vertical="top" wrapText="1"/>
    </xf>
    <xf numFmtId="10" fontId="4" fillId="3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10" fontId="6" fillId="3" borderId="0" xfId="0" applyNumberFormat="1" applyFont="1" applyFill="1"/>
    <xf numFmtId="0" fontId="8" fillId="0" borderId="0" xfId="0" applyFont="1" applyAlignment="1">
      <alignment vertical="top" wrapText="1"/>
    </xf>
    <xf numFmtId="164" fontId="9" fillId="4" borderId="0" xfId="0" applyNumberFormat="1" applyFont="1" applyFill="1"/>
    <xf numFmtId="166" fontId="6" fillId="0" borderId="0" xfId="0" applyNumberFormat="1" applyFont="1"/>
    <xf numFmtId="164" fontId="10" fillId="0" borderId="0" xfId="0" applyNumberFormat="1" applyFont="1"/>
    <xf numFmtId="164" fontId="9" fillId="4" borderId="1" xfId="0" applyNumberFormat="1" applyFont="1" applyFill="1" applyBorder="1"/>
    <xf numFmtId="0" fontId="3" fillId="4" borderId="0" xfId="0" applyFont="1" applyFill="1"/>
    <xf numFmtId="164" fontId="9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0" fontId="9" fillId="4" borderId="0" xfId="0" applyFont="1" applyFill="1"/>
    <xf numFmtId="0" fontId="9" fillId="0" borderId="0" xfId="0" applyFont="1"/>
    <xf numFmtId="166" fontId="4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showGridLines="0" tabSelected="1" workbookViewId="0"/>
  </sheetViews>
  <sheetFormatPr defaultRowHeight="15" x14ac:dyDescent="0.25"/>
  <cols>
    <col min="1" max="1" width="3" customWidth="1"/>
    <col min="2" max="2" width="26" customWidth="1"/>
    <col min="3" max="3" width="104" customWidth="1"/>
    <col min="4" max="4" width="30" customWidth="1"/>
    <col min="5" max="5" width="34" customWidth="1"/>
    <col min="6" max="6" width="18" customWidth="1"/>
  </cols>
  <sheetData>
    <row r="2" spans="2:3" ht="16.5" x14ac:dyDescent="0.25">
      <c r="B2" s="1" t="s">
        <v>0</v>
      </c>
    </row>
    <row r="3" spans="2:3" x14ac:dyDescent="0.25">
      <c r="B3" s="2" t="s">
        <v>1</v>
      </c>
    </row>
    <row r="5" spans="2:3" ht="30" customHeight="1" x14ac:dyDescent="0.25">
      <c r="B5" s="3" t="s">
        <v>2</v>
      </c>
      <c r="C5" s="4" t="s">
        <v>3</v>
      </c>
    </row>
    <row r="6" spans="2:3" ht="45" customHeight="1" x14ac:dyDescent="0.25">
      <c r="B6" s="3" t="s">
        <v>4</v>
      </c>
      <c r="C6" s="4" t="s">
        <v>5</v>
      </c>
    </row>
    <row r="7" spans="2:3" ht="45" customHeight="1" x14ac:dyDescent="0.25">
      <c r="B7" s="3" t="s">
        <v>6</v>
      </c>
      <c r="C7" s="4" t="s">
        <v>7</v>
      </c>
    </row>
    <row r="8" spans="2:3" ht="45" customHeight="1" x14ac:dyDescent="0.25">
      <c r="B8" s="3" t="s">
        <v>8</v>
      </c>
      <c r="C8" s="4" t="s">
        <v>9</v>
      </c>
    </row>
    <row r="9" spans="2:3" ht="30" customHeight="1" x14ac:dyDescent="0.25">
      <c r="B9" s="3" t="s">
        <v>10</v>
      </c>
      <c r="C9" s="4" t="s">
        <v>11</v>
      </c>
    </row>
    <row r="10" spans="2:3" ht="30" customHeight="1" x14ac:dyDescent="0.25">
      <c r="B10" s="3" t="s">
        <v>12</v>
      </c>
      <c r="C10" s="4" t="s">
        <v>13</v>
      </c>
    </row>
    <row r="11" spans="2:3" ht="45" customHeight="1" x14ac:dyDescent="0.25">
      <c r="B11" s="3" t="s">
        <v>14</v>
      </c>
      <c r="C11" s="4" t="s">
        <v>15</v>
      </c>
    </row>
    <row r="13" spans="2:3" x14ac:dyDescent="0.25">
      <c r="B13" s="2" t="s">
        <v>16</v>
      </c>
    </row>
    <row r="14" spans="2:3" x14ac:dyDescent="0.25">
      <c r="B14" s="5" t="s">
        <v>17</v>
      </c>
      <c r="C14" s="5" t="s">
        <v>18</v>
      </c>
    </row>
    <row r="15" spans="2:3" ht="135" customHeight="1" x14ac:dyDescent="0.25">
      <c r="B15" s="3" t="s">
        <v>19</v>
      </c>
      <c r="C15" s="4" t="s">
        <v>20</v>
      </c>
    </row>
    <row r="16" spans="2:3" ht="135" customHeight="1" x14ac:dyDescent="0.25">
      <c r="B16" s="3" t="s">
        <v>21</v>
      </c>
      <c r="C16" s="4" t="s">
        <v>22</v>
      </c>
    </row>
    <row r="17" spans="2:6" ht="195" customHeight="1" x14ac:dyDescent="0.25">
      <c r="B17" s="3" t="s">
        <v>23</v>
      </c>
      <c r="C17" s="4" t="s">
        <v>24</v>
      </c>
    </row>
    <row r="18" spans="2:6" ht="120" customHeight="1" x14ac:dyDescent="0.25">
      <c r="B18" s="3" t="s">
        <v>25</v>
      </c>
      <c r="C18" s="4" t="s">
        <v>26</v>
      </c>
    </row>
    <row r="19" spans="2:6" ht="105" customHeight="1" x14ac:dyDescent="0.25">
      <c r="B19" s="3" t="s">
        <v>27</v>
      </c>
      <c r="C19" s="4" t="s">
        <v>28</v>
      </c>
    </row>
    <row r="20" spans="2:6" ht="240" customHeight="1" x14ac:dyDescent="0.25">
      <c r="B20" s="3" t="s">
        <v>29</v>
      </c>
      <c r="C20" s="4" t="s">
        <v>30</v>
      </c>
    </row>
    <row r="22" spans="2:6" x14ac:dyDescent="0.25">
      <c r="B22" s="2" t="s">
        <v>31</v>
      </c>
    </row>
    <row r="23" spans="2:6" x14ac:dyDescent="0.25">
      <c r="B23" s="5" t="s">
        <v>17</v>
      </c>
      <c r="C23" s="5" t="s">
        <v>32</v>
      </c>
      <c r="D23" s="5" t="s">
        <v>33</v>
      </c>
      <c r="E23" s="5" t="s">
        <v>34</v>
      </c>
      <c r="F23" s="5" t="s">
        <v>35</v>
      </c>
    </row>
    <row r="24" spans="2:6" ht="15" customHeight="1" x14ac:dyDescent="0.25">
      <c r="B24" s="4" t="s">
        <v>36</v>
      </c>
      <c r="C24" s="4" t="s">
        <v>37</v>
      </c>
      <c r="D24" s="4" t="s">
        <v>38</v>
      </c>
      <c r="E24" s="4" t="s">
        <v>39</v>
      </c>
      <c r="F24" s="4" t="s">
        <v>40</v>
      </c>
    </row>
    <row r="25" spans="2:6" ht="15" customHeight="1" x14ac:dyDescent="0.25">
      <c r="B25" s="4" t="s">
        <v>41</v>
      </c>
      <c r="C25" s="4" t="s">
        <v>42</v>
      </c>
      <c r="D25" s="4" t="s">
        <v>43</v>
      </c>
      <c r="E25" s="4" t="s">
        <v>44</v>
      </c>
      <c r="F25" s="4" t="s">
        <v>19</v>
      </c>
    </row>
    <row r="26" spans="2:6" ht="30" customHeight="1" x14ac:dyDescent="0.25">
      <c r="B26" s="4" t="s">
        <v>45</v>
      </c>
      <c r="C26" s="4" t="s">
        <v>46</v>
      </c>
      <c r="D26" s="4" t="s">
        <v>47</v>
      </c>
      <c r="E26" s="4" t="s">
        <v>48</v>
      </c>
      <c r="F26" s="4" t="s">
        <v>21</v>
      </c>
    </row>
    <row r="27" spans="2:6" ht="45" customHeight="1" x14ac:dyDescent="0.25">
      <c r="B27" s="4" t="s">
        <v>49</v>
      </c>
      <c r="C27" s="4" t="s">
        <v>50</v>
      </c>
      <c r="D27" s="4" t="s">
        <v>51</v>
      </c>
      <c r="E27" s="4" t="s">
        <v>52</v>
      </c>
      <c r="F27" s="4" t="s">
        <v>25</v>
      </c>
    </row>
    <row r="28" spans="2:6" ht="330" customHeight="1" x14ac:dyDescent="0.25">
      <c r="B28" s="4" t="s">
        <v>53</v>
      </c>
      <c r="C28" s="4" t="s">
        <v>54</v>
      </c>
      <c r="D28" s="4" t="s">
        <v>55</v>
      </c>
      <c r="E28" s="4" t="s">
        <v>56</v>
      </c>
      <c r="F28" s="4" t="s">
        <v>25</v>
      </c>
    </row>
    <row r="29" spans="2:6" ht="90" customHeight="1" x14ac:dyDescent="0.25">
      <c r="B29" s="4" t="s">
        <v>57</v>
      </c>
      <c r="C29" s="4" t="s">
        <v>58</v>
      </c>
      <c r="D29" s="4" t="s">
        <v>59</v>
      </c>
      <c r="E29" s="4" t="s">
        <v>60</v>
      </c>
      <c r="F29" s="4" t="s">
        <v>25</v>
      </c>
    </row>
    <row r="30" spans="2:6" ht="285" customHeight="1" x14ac:dyDescent="0.25">
      <c r="B30" s="4" t="s">
        <v>61</v>
      </c>
      <c r="C30" s="4" t="s">
        <v>62</v>
      </c>
      <c r="D30" s="4" t="s">
        <v>63</v>
      </c>
      <c r="E30" s="4" t="s">
        <v>64</v>
      </c>
      <c r="F30" s="4" t="s">
        <v>25</v>
      </c>
    </row>
    <row r="31" spans="2:6" ht="45" customHeight="1" x14ac:dyDescent="0.25">
      <c r="B31" s="4" t="s">
        <v>65</v>
      </c>
      <c r="C31" s="4" t="s">
        <v>66</v>
      </c>
      <c r="D31" s="4" t="s">
        <v>67</v>
      </c>
      <c r="E31" s="4" t="s">
        <v>68</v>
      </c>
      <c r="F31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3"/>
  <sheetViews>
    <sheetView showGridLines="0" workbookViewId="0"/>
  </sheetViews>
  <sheetFormatPr defaultRowHeight="15" x14ac:dyDescent="0.25"/>
  <cols>
    <col min="1" max="1" width="3" customWidth="1"/>
    <col min="2" max="2" width="12" customWidth="1"/>
    <col min="3" max="3" width="16" customWidth="1"/>
    <col min="4" max="6" width="14" customWidth="1"/>
    <col min="7" max="7" width="52" customWidth="1"/>
  </cols>
  <sheetData>
    <row r="2" spans="2:7" ht="16.5" x14ac:dyDescent="0.25">
      <c r="B2" s="1" t="s">
        <v>69</v>
      </c>
    </row>
    <row r="4" spans="2:7" x14ac:dyDescent="0.25"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</row>
    <row r="5" spans="2:7" x14ac:dyDescent="0.25">
      <c r="B5" s="3" t="s">
        <v>76</v>
      </c>
      <c r="C5" s="6" t="s">
        <v>77</v>
      </c>
      <c r="D5" s="6" t="s">
        <v>78</v>
      </c>
      <c r="E5" s="6" t="s">
        <v>79</v>
      </c>
      <c r="F5" s="7">
        <v>12</v>
      </c>
      <c r="G5" s="8" t="s">
        <v>80</v>
      </c>
    </row>
    <row r="6" spans="2:7" x14ac:dyDescent="0.25">
      <c r="B6" s="3" t="s">
        <v>81</v>
      </c>
      <c r="C6" s="6" t="s">
        <v>82</v>
      </c>
      <c r="D6" s="6" t="s">
        <v>83</v>
      </c>
      <c r="E6" s="6" t="s">
        <v>84</v>
      </c>
      <c r="F6" s="7">
        <v>8</v>
      </c>
      <c r="G6" s="8" t="s">
        <v>85</v>
      </c>
    </row>
    <row r="7" spans="2:7" x14ac:dyDescent="0.25">
      <c r="B7" s="3" t="s">
        <v>86</v>
      </c>
      <c r="C7" s="6" t="s">
        <v>87</v>
      </c>
      <c r="D7" s="6" t="s">
        <v>88</v>
      </c>
      <c r="E7" s="6" t="s">
        <v>89</v>
      </c>
      <c r="F7" s="7">
        <v>12</v>
      </c>
      <c r="G7" s="8" t="s">
        <v>90</v>
      </c>
    </row>
    <row r="8" spans="2:7" x14ac:dyDescent="0.25">
      <c r="B8" s="3" t="s">
        <v>91</v>
      </c>
      <c r="C8" s="6" t="s">
        <v>92</v>
      </c>
      <c r="D8" s="6" t="s">
        <v>93</v>
      </c>
      <c r="E8" s="6" t="s">
        <v>94</v>
      </c>
      <c r="F8" s="7">
        <v>12</v>
      </c>
      <c r="G8" s="8" t="s">
        <v>95</v>
      </c>
    </row>
    <row r="9" spans="2:7" x14ac:dyDescent="0.25">
      <c r="B9" s="3" t="s">
        <v>96</v>
      </c>
      <c r="C9" s="6" t="s">
        <v>97</v>
      </c>
      <c r="D9" s="6" t="s">
        <v>98</v>
      </c>
      <c r="E9" s="6" t="s">
        <v>99</v>
      </c>
      <c r="F9" s="7">
        <v>12</v>
      </c>
      <c r="G9" s="8" t="s">
        <v>100</v>
      </c>
    </row>
    <row r="10" spans="2:7" x14ac:dyDescent="0.25">
      <c r="B10" s="3" t="s">
        <v>101</v>
      </c>
      <c r="C10" s="6" t="s">
        <v>102</v>
      </c>
      <c r="D10" s="6" t="s">
        <v>103</v>
      </c>
      <c r="E10" s="6" t="s">
        <v>104</v>
      </c>
      <c r="F10" s="7">
        <v>12</v>
      </c>
      <c r="G10" s="8" t="s">
        <v>100</v>
      </c>
    </row>
    <row r="12" spans="2:7" x14ac:dyDescent="0.25">
      <c r="B12" s="3" t="s">
        <v>105</v>
      </c>
      <c r="C12" s="9" t="s">
        <v>106</v>
      </c>
    </row>
    <row r="13" spans="2:7" x14ac:dyDescent="0.25">
      <c r="B13" s="3" t="s">
        <v>107</v>
      </c>
      <c r="C13" s="6" t="s">
        <v>101</v>
      </c>
      <c r="G13" s="8" t="s">
        <v>108</v>
      </c>
    </row>
    <row r="14" spans="2:7" x14ac:dyDescent="0.25">
      <c r="B14" s="3" t="s">
        <v>10</v>
      </c>
      <c r="C14" s="6" t="s">
        <v>96</v>
      </c>
      <c r="G14" s="8" t="s">
        <v>109</v>
      </c>
    </row>
    <row r="17" spans="2:10" x14ac:dyDescent="0.25">
      <c r="B17" s="2" t="s">
        <v>110</v>
      </c>
    </row>
    <row r="18" spans="2:10" x14ac:dyDescent="0.25">
      <c r="B18" s="10" t="s">
        <v>111</v>
      </c>
      <c r="C18" s="10" t="s">
        <v>112</v>
      </c>
      <c r="D18" s="10" t="s">
        <v>81</v>
      </c>
      <c r="E18" s="10" t="s">
        <v>86</v>
      </c>
      <c r="F18" s="10" t="s">
        <v>91</v>
      </c>
      <c r="G18" s="10" t="s">
        <v>96</v>
      </c>
      <c r="H18" s="10" t="s">
        <v>101</v>
      </c>
      <c r="I18" s="10" t="s">
        <v>113</v>
      </c>
      <c r="J18" s="10" t="s">
        <v>114</v>
      </c>
    </row>
    <row r="19" spans="2:10" x14ac:dyDescent="0.25">
      <c r="B19" s="6" t="s">
        <v>115</v>
      </c>
      <c r="C19" s="7">
        <v>24</v>
      </c>
      <c r="D19" s="11">
        <v>8</v>
      </c>
      <c r="E19" s="11">
        <v>12</v>
      </c>
      <c r="F19" s="11">
        <v>4</v>
      </c>
      <c r="G19" s="11">
        <v>0</v>
      </c>
      <c r="H19" s="11">
        <v>0</v>
      </c>
      <c r="I19" s="11">
        <f>SUM(D19:H19)</f>
        <v>24</v>
      </c>
      <c r="J19" s="11">
        <f>I19-C19</f>
        <v>0</v>
      </c>
    </row>
    <row r="20" spans="2:10" x14ac:dyDescent="0.25">
      <c r="B20" s="6" t="s">
        <v>116</v>
      </c>
      <c r="C20" s="7">
        <v>18</v>
      </c>
      <c r="D20" s="11">
        <v>8</v>
      </c>
      <c r="E20" s="11">
        <v>10</v>
      </c>
      <c r="F20" s="11">
        <v>0</v>
      </c>
      <c r="G20" s="11">
        <v>0</v>
      </c>
      <c r="H20" s="11">
        <v>0</v>
      </c>
      <c r="I20" s="11">
        <f>SUM(D20:H20)</f>
        <v>18</v>
      </c>
      <c r="J20" s="11">
        <f>I20-C20</f>
        <v>0</v>
      </c>
    </row>
    <row r="21" spans="2:10" x14ac:dyDescent="0.25">
      <c r="B21" s="6" t="s">
        <v>117</v>
      </c>
      <c r="C21" s="7">
        <v>12</v>
      </c>
      <c r="D21" s="11">
        <v>8</v>
      </c>
      <c r="E21" s="11">
        <v>4</v>
      </c>
      <c r="F21" s="11">
        <v>0</v>
      </c>
      <c r="G21" s="11">
        <v>0</v>
      </c>
      <c r="H21" s="11">
        <v>0</v>
      </c>
      <c r="I21" s="11">
        <f>SUM(D21:H21)</f>
        <v>12</v>
      </c>
      <c r="J21" s="11">
        <f>I21-C21</f>
        <v>0</v>
      </c>
    </row>
    <row r="22" spans="2:10" x14ac:dyDescent="0.25">
      <c r="B22" s="6" t="s">
        <v>118</v>
      </c>
      <c r="C22" s="7">
        <v>24</v>
      </c>
      <c r="D22" s="11">
        <v>8</v>
      </c>
      <c r="E22" s="11">
        <v>12</v>
      </c>
      <c r="F22" s="11">
        <v>4</v>
      </c>
      <c r="G22" s="11">
        <v>0</v>
      </c>
      <c r="H22" s="11">
        <v>0</v>
      </c>
      <c r="I22" s="11">
        <f>SUM(D22:H22)</f>
        <v>24</v>
      </c>
      <c r="J22" s="11">
        <f>I22-C22</f>
        <v>0</v>
      </c>
    </row>
    <row r="23" spans="2:10" x14ac:dyDescent="0.25">
      <c r="B23" s="6" t="s">
        <v>119</v>
      </c>
      <c r="C23" s="7">
        <v>12</v>
      </c>
      <c r="D23" s="11">
        <v>8</v>
      </c>
      <c r="E23" s="11">
        <v>4</v>
      </c>
      <c r="F23" s="11">
        <v>0</v>
      </c>
      <c r="G23" s="11">
        <v>0</v>
      </c>
      <c r="H23" s="11">
        <v>0</v>
      </c>
      <c r="I23" s="11">
        <f>SUM(D23:H23)</f>
        <v>12</v>
      </c>
      <c r="J23" s="11">
        <f>I23-C23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showGridLines="0" workbookViewId="0"/>
  </sheetViews>
  <sheetFormatPr defaultRowHeight="15" x14ac:dyDescent="0.25"/>
  <cols>
    <col min="1" max="1" width="3" customWidth="1"/>
    <col min="2" max="2" width="54" customWidth="1"/>
    <col min="3" max="3" width="14" customWidth="1"/>
    <col min="4" max="4" width="12" customWidth="1"/>
    <col min="5" max="5" width="10" customWidth="1"/>
    <col min="6" max="6" width="76" customWidth="1"/>
  </cols>
  <sheetData>
    <row r="2" spans="2:6" ht="16.5" x14ac:dyDescent="0.25">
      <c r="B2" s="1" t="s">
        <v>120</v>
      </c>
    </row>
    <row r="4" spans="2:6" x14ac:dyDescent="0.25">
      <c r="B4" s="5" t="s">
        <v>121</v>
      </c>
      <c r="C4" s="5" t="s">
        <v>122</v>
      </c>
      <c r="D4" s="5" t="s">
        <v>123</v>
      </c>
      <c r="E4" s="5" t="s">
        <v>124</v>
      </c>
      <c r="F4" s="5" t="s">
        <v>125</v>
      </c>
    </row>
    <row r="5" spans="2:6" x14ac:dyDescent="0.25">
      <c r="B5" s="2" t="s">
        <v>126</v>
      </c>
    </row>
    <row r="6" spans="2:6" x14ac:dyDescent="0.25">
      <c r="B6" s="6" t="s">
        <v>127</v>
      </c>
      <c r="C6" s="12">
        <v>4948</v>
      </c>
      <c r="D6" s="8" t="s">
        <v>128</v>
      </c>
      <c r="E6" s="8" t="s">
        <v>27</v>
      </c>
      <c r="F6" s="13" t="s">
        <v>129</v>
      </c>
    </row>
    <row r="7" spans="2:6" x14ac:dyDescent="0.25">
      <c r="B7" s="6" t="s">
        <v>130</v>
      </c>
      <c r="C7" s="12">
        <v>4948</v>
      </c>
      <c r="D7" s="8" t="s">
        <v>128</v>
      </c>
      <c r="E7" s="8" t="s">
        <v>27</v>
      </c>
      <c r="F7" s="13" t="s">
        <v>131</v>
      </c>
    </row>
    <row r="8" spans="2:6" x14ac:dyDescent="0.25">
      <c r="B8" s="6" t="s">
        <v>132</v>
      </c>
      <c r="C8" s="14">
        <f>C9/C6</f>
        <v>0.23097355352812105</v>
      </c>
      <c r="D8" s="8" t="s">
        <v>133</v>
      </c>
      <c r="E8" s="8" t="s">
        <v>134</v>
      </c>
      <c r="F8" s="13" t="s">
        <v>135</v>
      </c>
    </row>
    <row r="9" spans="2:6" x14ac:dyDescent="0.25">
      <c r="B9" s="6" t="s">
        <v>136</v>
      </c>
      <c r="C9" s="15">
        <f>C10/14</f>
        <v>1142.8571428571429</v>
      </c>
      <c r="D9" s="8" t="s">
        <v>133</v>
      </c>
      <c r="E9" s="8" t="s">
        <v>19</v>
      </c>
      <c r="F9" s="13" t="s">
        <v>137</v>
      </c>
    </row>
    <row r="10" spans="2:6" x14ac:dyDescent="0.25">
      <c r="B10" s="6" t="s">
        <v>138</v>
      </c>
      <c r="C10" s="12">
        <v>16000</v>
      </c>
      <c r="D10" s="8" t="s">
        <v>128</v>
      </c>
      <c r="E10" s="8" t="s">
        <v>19</v>
      </c>
      <c r="F10" s="13" t="s">
        <v>139</v>
      </c>
    </row>
    <row r="11" spans="2:6" x14ac:dyDescent="0.25">
      <c r="B11" s="6" t="s">
        <v>140</v>
      </c>
      <c r="C11" s="16">
        <f>C10/C9</f>
        <v>14</v>
      </c>
      <c r="D11" s="8" t="s">
        <v>128</v>
      </c>
      <c r="E11" s="8" t="s">
        <v>19</v>
      </c>
      <c r="F11" s="13" t="s">
        <v>141</v>
      </c>
    </row>
    <row r="12" spans="2:6" x14ac:dyDescent="0.25">
      <c r="B12" s="6" t="s">
        <v>142</v>
      </c>
      <c r="C12" s="17">
        <v>0.5</v>
      </c>
      <c r="D12" s="8" t="s">
        <v>128</v>
      </c>
      <c r="E12" s="8" t="s">
        <v>21</v>
      </c>
      <c r="F12" s="13" t="s">
        <v>143</v>
      </c>
    </row>
    <row r="13" spans="2:6" x14ac:dyDescent="0.25">
      <c r="B13" s="6" t="s">
        <v>144</v>
      </c>
      <c r="C13" s="17">
        <v>0.48199999999999998</v>
      </c>
      <c r="D13" s="8" t="s">
        <v>128</v>
      </c>
      <c r="E13" s="8" t="s">
        <v>21</v>
      </c>
      <c r="F13" s="13" t="s">
        <v>143</v>
      </c>
    </row>
    <row r="14" spans="2:6" x14ac:dyDescent="0.25">
      <c r="B14" s="6" t="s">
        <v>145</v>
      </c>
      <c r="C14" s="17">
        <v>1.7999999999999999E-2</v>
      </c>
      <c r="D14" s="8" t="s">
        <v>128</v>
      </c>
      <c r="E14" s="8" t="s">
        <v>21</v>
      </c>
      <c r="F14" s="13" t="s">
        <v>143</v>
      </c>
    </row>
    <row r="15" spans="2:6" x14ac:dyDescent="0.25">
      <c r="B15" s="6" t="s">
        <v>146</v>
      </c>
      <c r="C15" s="18">
        <f>SUM(C12:C14)</f>
        <v>1</v>
      </c>
      <c r="D15" s="8" t="s">
        <v>133</v>
      </c>
      <c r="E15" s="8" t="s">
        <v>21</v>
      </c>
      <c r="F15" s="13" t="s">
        <v>147</v>
      </c>
    </row>
    <row r="17" spans="2:6" x14ac:dyDescent="0.25">
      <c r="B17" s="2" t="s">
        <v>148</v>
      </c>
    </row>
    <row r="18" spans="2:6" x14ac:dyDescent="0.25">
      <c r="B18" s="6" t="s">
        <v>149</v>
      </c>
      <c r="C18" s="17">
        <v>0.03</v>
      </c>
      <c r="D18" s="8" t="s">
        <v>150</v>
      </c>
      <c r="E18" s="8" t="s">
        <v>25</v>
      </c>
      <c r="F18" s="13" t="s">
        <v>151</v>
      </c>
    </row>
    <row r="19" spans="2:6" x14ac:dyDescent="0.25">
      <c r="B19" s="6" t="s">
        <v>152</v>
      </c>
      <c r="C19" s="17">
        <v>3.0000000000000001E-3</v>
      </c>
      <c r="D19" s="8" t="s">
        <v>150</v>
      </c>
      <c r="E19" s="8" t="s">
        <v>25</v>
      </c>
      <c r="F19" s="13" t="s">
        <v>153</v>
      </c>
    </row>
    <row r="21" spans="2:6" x14ac:dyDescent="0.25">
      <c r="B21" s="2" t="s">
        <v>154</v>
      </c>
    </row>
    <row r="22" spans="2:6" x14ac:dyDescent="0.25">
      <c r="B22" s="6" t="s">
        <v>155</v>
      </c>
      <c r="C22" s="19">
        <v>1.6E-2</v>
      </c>
      <c r="D22" s="8" t="s">
        <v>150</v>
      </c>
      <c r="E22" s="8" t="s">
        <v>25</v>
      </c>
      <c r="F22" s="13" t="s">
        <v>156</v>
      </c>
    </row>
    <row r="24" spans="2:6" x14ac:dyDescent="0.25">
      <c r="B24" s="2" t="s">
        <v>157</v>
      </c>
    </row>
    <row r="25" spans="2:6" x14ac:dyDescent="0.25">
      <c r="B25" s="6" t="s">
        <v>158</v>
      </c>
      <c r="C25" s="17">
        <v>0.22</v>
      </c>
      <c r="D25" s="8" t="s">
        <v>150</v>
      </c>
      <c r="E25" s="8" t="s">
        <v>25</v>
      </c>
      <c r="F25" s="13" t="s">
        <v>159</v>
      </c>
    </row>
    <row r="26" spans="2:6" x14ac:dyDescent="0.25">
      <c r="B26" s="6" t="s">
        <v>160</v>
      </c>
      <c r="C26" s="17">
        <v>2.5000000000000001E-2</v>
      </c>
      <c r="D26" s="8" t="s">
        <v>150</v>
      </c>
      <c r="E26" s="8" t="s">
        <v>25</v>
      </c>
      <c r="F26" s="13" t="s">
        <v>161</v>
      </c>
    </row>
    <row r="27" spans="2:6" x14ac:dyDescent="0.25">
      <c r="B27" s="6" t="s">
        <v>162</v>
      </c>
      <c r="C27" s="17">
        <v>0.15</v>
      </c>
      <c r="D27" s="8" t="s">
        <v>150</v>
      </c>
      <c r="E27" s="8" t="s">
        <v>25</v>
      </c>
      <c r="F27" s="13" t="s">
        <v>163</v>
      </c>
    </row>
    <row r="28" spans="2:6" x14ac:dyDescent="0.25">
      <c r="B28" s="6" t="s">
        <v>164</v>
      </c>
      <c r="C28" s="12">
        <v>0</v>
      </c>
      <c r="D28" s="8" t="s">
        <v>165</v>
      </c>
      <c r="E28" s="8" t="s">
        <v>25</v>
      </c>
      <c r="F28" s="13" t="s">
        <v>166</v>
      </c>
    </row>
    <row r="29" spans="2:6" x14ac:dyDescent="0.25">
      <c r="B29" s="6" t="s">
        <v>167</v>
      </c>
      <c r="C29" s="17">
        <v>0.2</v>
      </c>
      <c r="D29" s="8" t="s">
        <v>150</v>
      </c>
      <c r="E29" s="8" t="s">
        <v>25</v>
      </c>
      <c r="F29" s="13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5"/>
  <sheetViews>
    <sheetView showGridLines="0" workbookViewId="0"/>
  </sheetViews>
  <sheetFormatPr defaultRowHeight="15" x14ac:dyDescent="0.25"/>
  <cols>
    <col min="1" max="1" width="3" customWidth="1"/>
    <col min="2" max="2" width="46" customWidth="1"/>
    <col min="3" max="9" width="13" customWidth="1"/>
    <col min="10" max="10" width="56" customWidth="1"/>
  </cols>
  <sheetData>
    <row r="2" spans="2:10" ht="16.5" x14ac:dyDescent="0.25">
      <c r="B2" s="1" t="s">
        <v>169</v>
      </c>
    </row>
    <row r="3" spans="2:10" ht="36" x14ac:dyDescent="0.25">
      <c r="B3" s="20" t="s">
        <v>170</v>
      </c>
    </row>
    <row r="5" spans="2:10" x14ac:dyDescent="0.25">
      <c r="B5" s="10" t="s">
        <v>171</v>
      </c>
      <c r="C5" s="10" t="s">
        <v>172</v>
      </c>
      <c r="D5" s="10" t="s">
        <v>76</v>
      </c>
      <c r="E5" s="10" t="s">
        <v>81</v>
      </c>
      <c r="F5" s="10" t="s">
        <v>86</v>
      </c>
      <c r="G5" s="10" t="s">
        <v>91</v>
      </c>
      <c r="H5" s="10" t="s">
        <v>96</v>
      </c>
      <c r="I5" s="10" t="s">
        <v>101</v>
      </c>
      <c r="J5" s="10" t="s">
        <v>173</v>
      </c>
    </row>
    <row r="6" spans="2:10" x14ac:dyDescent="0.25">
      <c r="B6" s="6" t="s">
        <v>174</v>
      </c>
      <c r="C6" s="8"/>
      <c r="D6" s="17">
        <v>0</v>
      </c>
      <c r="E6" s="17">
        <v>0.25</v>
      </c>
      <c r="F6" s="17">
        <v>0.7</v>
      </c>
      <c r="G6" s="17">
        <v>1</v>
      </c>
      <c r="H6" s="17">
        <v>1</v>
      </c>
      <c r="I6" s="17">
        <v>1</v>
      </c>
      <c r="J6" s="13" t="s">
        <v>175</v>
      </c>
    </row>
    <row r="7" spans="2:10" x14ac:dyDescent="0.25">
      <c r="B7" s="6" t="s">
        <v>176</v>
      </c>
      <c r="C7" s="8"/>
      <c r="D7" s="17">
        <v>0</v>
      </c>
      <c r="E7" s="17">
        <v>0.4</v>
      </c>
      <c r="F7" s="17">
        <v>0.85</v>
      </c>
      <c r="G7" s="17">
        <v>1</v>
      </c>
      <c r="H7" s="17">
        <v>1</v>
      </c>
      <c r="I7" s="17">
        <v>1</v>
      </c>
      <c r="J7" s="13" t="s">
        <v>177</v>
      </c>
    </row>
    <row r="8" spans="2:10" x14ac:dyDescent="0.25">
      <c r="B8" s="6" t="s">
        <v>178</v>
      </c>
      <c r="C8" s="8"/>
      <c r="D8" s="17">
        <v>0</v>
      </c>
      <c r="E8" s="17">
        <v>0.5</v>
      </c>
      <c r="F8" s="17">
        <v>1</v>
      </c>
      <c r="G8" s="17">
        <v>1</v>
      </c>
      <c r="H8" s="17">
        <v>1</v>
      </c>
      <c r="I8" s="17">
        <v>1</v>
      </c>
      <c r="J8" s="13" t="s">
        <v>179</v>
      </c>
    </row>
    <row r="9" spans="2:10" x14ac:dyDescent="0.25">
      <c r="B9" s="6" t="s">
        <v>180</v>
      </c>
      <c r="C9" s="8"/>
      <c r="D9" s="17">
        <v>0</v>
      </c>
      <c r="E9" s="17">
        <v>0.45</v>
      </c>
      <c r="F9" s="17">
        <v>0.9</v>
      </c>
      <c r="G9" s="17">
        <v>1</v>
      </c>
      <c r="H9" s="17">
        <v>1</v>
      </c>
      <c r="I9" s="17">
        <v>1</v>
      </c>
      <c r="J9" s="13" t="s">
        <v>181</v>
      </c>
    </row>
    <row r="11" spans="2:10" x14ac:dyDescent="0.25">
      <c r="B11" s="6" t="s">
        <v>182</v>
      </c>
      <c r="C11" s="12">
        <v>-40</v>
      </c>
      <c r="D11" s="15">
        <f t="shared" ref="D11:I14" si="0">$C11*D6</f>
        <v>0</v>
      </c>
      <c r="E11" s="15">
        <f t="shared" si="0"/>
        <v>-10</v>
      </c>
      <c r="F11" s="15">
        <f t="shared" si="0"/>
        <v>-28</v>
      </c>
      <c r="G11" s="15">
        <f t="shared" si="0"/>
        <v>-40</v>
      </c>
      <c r="H11" s="15">
        <f t="shared" si="0"/>
        <v>-40</v>
      </c>
      <c r="I11" s="15">
        <f t="shared" si="0"/>
        <v>-40</v>
      </c>
    </row>
    <row r="12" spans="2:10" x14ac:dyDescent="0.25">
      <c r="B12" s="6" t="s">
        <v>183</v>
      </c>
      <c r="C12" s="12">
        <v>-30</v>
      </c>
      <c r="D12" s="15">
        <f t="shared" si="0"/>
        <v>0</v>
      </c>
      <c r="E12" s="15">
        <f t="shared" si="0"/>
        <v>-12</v>
      </c>
      <c r="F12" s="15">
        <f t="shared" si="0"/>
        <v>-25.5</v>
      </c>
      <c r="G12" s="15">
        <f t="shared" si="0"/>
        <v>-30</v>
      </c>
      <c r="H12" s="15">
        <f t="shared" si="0"/>
        <v>-30</v>
      </c>
      <c r="I12" s="15">
        <f t="shared" si="0"/>
        <v>-30</v>
      </c>
    </row>
    <row r="13" spans="2:10" x14ac:dyDescent="0.25">
      <c r="B13" s="6" t="s">
        <v>184</v>
      </c>
      <c r="C13" s="12">
        <v>-25</v>
      </c>
      <c r="D13" s="15">
        <f t="shared" si="0"/>
        <v>0</v>
      </c>
      <c r="E13" s="15">
        <f t="shared" si="0"/>
        <v>-12.5</v>
      </c>
      <c r="F13" s="15">
        <f t="shared" si="0"/>
        <v>-25</v>
      </c>
      <c r="G13" s="15">
        <f t="shared" si="0"/>
        <v>-25</v>
      </c>
      <c r="H13" s="15">
        <f t="shared" si="0"/>
        <v>-25</v>
      </c>
      <c r="I13" s="15">
        <f t="shared" si="0"/>
        <v>-25</v>
      </c>
    </row>
    <row r="14" spans="2:10" x14ac:dyDescent="0.25">
      <c r="B14" s="6" t="s">
        <v>185</v>
      </c>
      <c r="C14" s="12">
        <v>-25</v>
      </c>
      <c r="D14" s="15">
        <f t="shared" si="0"/>
        <v>0</v>
      </c>
      <c r="E14" s="15">
        <f t="shared" si="0"/>
        <v>-11.25</v>
      </c>
      <c r="F14" s="15">
        <f t="shared" si="0"/>
        <v>-22.5</v>
      </c>
      <c r="G14" s="15">
        <f t="shared" si="0"/>
        <v>-25</v>
      </c>
      <c r="H14" s="15">
        <f t="shared" si="0"/>
        <v>-25</v>
      </c>
      <c r="I14" s="15">
        <f t="shared" si="0"/>
        <v>-25</v>
      </c>
    </row>
    <row r="15" spans="2:10" x14ac:dyDescent="0.25">
      <c r="B15" s="3" t="s">
        <v>186</v>
      </c>
      <c r="C15" s="21">
        <f t="shared" ref="C15:I15" si="1">SUM(C11:C14)</f>
        <v>-120</v>
      </c>
      <c r="D15" s="21">
        <f t="shared" si="1"/>
        <v>0</v>
      </c>
      <c r="E15" s="21">
        <f t="shared" si="1"/>
        <v>-45.75</v>
      </c>
      <c r="F15" s="21">
        <f t="shared" si="1"/>
        <v>-101</v>
      </c>
      <c r="G15" s="21">
        <f t="shared" si="1"/>
        <v>-120</v>
      </c>
      <c r="H15" s="21">
        <f t="shared" si="1"/>
        <v>-120</v>
      </c>
      <c r="I15" s="21">
        <f t="shared" si="1"/>
        <v>-120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1"/>
  <sheetViews>
    <sheetView showGridLines="0" workbookViewId="0"/>
  </sheetViews>
  <sheetFormatPr defaultRowHeight="15" x14ac:dyDescent="0.25"/>
  <cols>
    <col min="1" max="1" width="3" customWidth="1"/>
    <col min="2" max="2" width="40" customWidth="1"/>
    <col min="3" max="7" width="13" customWidth="1"/>
  </cols>
  <sheetData>
    <row r="2" spans="2:15" ht="16.5" x14ac:dyDescent="0.25">
      <c r="B2" s="1" t="s">
        <v>187</v>
      </c>
    </row>
    <row r="3" spans="2:15" ht="48" x14ac:dyDescent="0.25">
      <c r="B3" s="20" t="s">
        <v>188</v>
      </c>
    </row>
    <row r="5" spans="2:15" x14ac:dyDescent="0.25">
      <c r="B5" s="10" t="s">
        <v>111</v>
      </c>
      <c r="C5" s="10" t="s">
        <v>189</v>
      </c>
      <c r="D5" s="10" t="s">
        <v>190</v>
      </c>
      <c r="E5" s="10" t="s">
        <v>191</v>
      </c>
      <c r="F5" s="10" t="s">
        <v>192</v>
      </c>
      <c r="G5" s="10" t="s">
        <v>193</v>
      </c>
      <c r="H5" s="10" t="s">
        <v>194</v>
      </c>
      <c r="I5" s="10" t="s">
        <v>76</v>
      </c>
      <c r="J5" s="10" t="s">
        <v>81</v>
      </c>
      <c r="K5" s="10" t="s">
        <v>86</v>
      </c>
      <c r="L5" s="10" t="s">
        <v>91</v>
      </c>
      <c r="M5" s="10" t="s">
        <v>96</v>
      </c>
      <c r="N5" s="10" t="s">
        <v>101</v>
      </c>
      <c r="O5" s="10" t="s">
        <v>195</v>
      </c>
    </row>
    <row r="6" spans="2:15" ht="56.25" x14ac:dyDescent="0.25">
      <c r="B6" s="6" t="s">
        <v>115</v>
      </c>
      <c r="C6" s="22">
        <v>-2.1</v>
      </c>
      <c r="D6" s="7">
        <v>1</v>
      </c>
      <c r="E6" s="7">
        <v>24</v>
      </c>
      <c r="F6" s="11">
        <f>D6+E6-1</f>
        <v>24</v>
      </c>
      <c r="G6" s="7">
        <v>12</v>
      </c>
      <c r="H6" s="11">
        <f>MAX(0,E6-19+1)</f>
        <v>6</v>
      </c>
      <c r="I6" s="15">
        <v>0</v>
      </c>
      <c r="J6" s="15">
        <v>-16.8</v>
      </c>
      <c r="K6" s="15">
        <v>-25.20000000000001</v>
      </c>
      <c r="L6" s="15">
        <v>-8.4</v>
      </c>
      <c r="M6" s="15">
        <v>0</v>
      </c>
      <c r="N6" s="15">
        <v>0</v>
      </c>
      <c r="O6" s="13" t="s">
        <v>196</v>
      </c>
    </row>
    <row r="7" spans="2:15" ht="56.25" x14ac:dyDescent="0.25">
      <c r="B7" s="6" t="s">
        <v>116</v>
      </c>
      <c r="C7" s="22">
        <v>-1.25</v>
      </c>
      <c r="D7" s="7">
        <v>1</v>
      </c>
      <c r="E7" s="7">
        <v>18</v>
      </c>
      <c r="F7" s="11">
        <f>D7+E7-1</f>
        <v>18</v>
      </c>
      <c r="G7" s="7">
        <v>6</v>
      </c>
      <c r="H7" s="11">
        <f>MAX(0,E7-15+1)</f>
        <v>4</v>
      </c>
      <c r="I7" s="15">
        <v>0</v>
      </c>
      <c r="J7" s="15">
        <v>-10</v>
      </c>
      <c r="K7" s="15">
        <v>-12.5</v>
      </c>
      <c r="L7" s="15">
        <v>0</v>
      </c>
      <c r="M7" s="15">
        <v>0</v>
      </c>
      <c r="N7" s="15">
        <v>0</v>
      </c>
      <c r="O7" s="13" t="s">
        <v>197</v>
      </c>
    </row>
    <row r="8" spans="2:15" ht="45" x14ac:dyDescent="0.25">
      <c r="B8" s="6" t="s">
        <v>117</v>
      </c>
      <c r="C8" s="22">
        <v>-0.85</v>
      </c>
      <c r="D8" s="7">
        <v>1</v>
      </c>
      <c r="E8" s="7">
        <v>12</v>
      </c>
      <c r="F8" s="11">
        <f>D8+E8-1</f>
        <v>12</v>
      </c>
      <c r="G8" s="7">
        <v>6</v>
      </c>
      <c r="H8" s="11">
        <f>MAX(0,E8-10+1)</f>
        <v>3</v>
      </c>
      <c r="I8" s="15">
        <v>0</v>
      </c>
      <c r="J8" s="15">
        <v>-6.7999999999999989</v>
      </c>
      <c r="K8" s="15">
        <v>-3.4</v>
      </c>
      <c r="L8" s="15">
        <v>0</v>
      </c>
      <c r="M8" s="15">
        <v>0</v>
      </c>
      <c r="N8" s="15">
        <v>0</v>
      </c>
      <c r="O8" s="13" t="s">
        <v>198</v>
      </c>
    </row>
    <row r="9" spans="2:15" ht="56.25" x14ac:dyDescent="0.25">
      <c r="B9" s="6" t="s">
        <v>118</v>
      </c>
      <c r="C9" s="22">
        <v>-0.5</v>
      </c>
      <c r="D9" s="7">
        <v>1</v>
      </c>
      <c r="E9" s="7">
        <v>24</v>
      </c>
      <c r="F9" s="11">
        <f>D9+E9-1</f>
        <v>24</v>
      </c>
      <c r="G9" s="7">
        <v>12</v>
      </c>
      <c r="H9" s="11">
        <f>MAX(0,E9-21+1)</f>
        <v>4</v>
      </c>
      <c r="I9" s="15">
        <v>0</v>
      </c>
      <c r="J9" s="15">
        <v>-4</v>
      </c>
      <c r="K9" s="15">
        <v>-6</v>
      </c>
      <c r="L9" s="15">
        <v>-2</v>
      </c>
      <c r="M9" s="15">
        <v>0</v>
      </c>
      <c r="N9" s="15">
        <v>0</v>
      </c>
      <c r="O9" s="13" t="s">
        <v>199</v>
      </c>
    </row>
    <row r="10" spans="2:15" ht="56.25" x14ac:dyDescent="0.25">
      <c r="B10" s="6" t="s">
        <v>119</v>
      </c>
      <c r="C10" s="22">
        <v>-0.3</v>
      </c>
      <c r="D10" s="7">
        <v>1</v>
      </c>
      <c r="E10" s="7">
        <v>12</v>
      </c>
      <c r="F10" s="11">
        <f>D10+E10-1</f>
        <v>12</v>
      </c>
      <c r="G10" s="7">
        <v>6</v>
      </c>
      <c r="H10" s="11">
        <f>MAX(0,E10-12+1)</f>
        <v>1</v>
      </c>
      <c r="I10" s="15">
        <v>0</v>
      </c>
      <c r="J10" s="15">
        <v>-2.4</v>
      </c>
      <c r="K10" s="15">
        <v>-1.2</v>
      </c>
      <c r="L10" s="15">
        <v>0</v>
      </c>
      <c r="M10" s="15">
        <v>0</v>
      </c>
      <c r="N10" s="15">
        <v>0</v>
      </c>
      <c r="O10" s="13" t="s">
        <v>200</v>
      </c>
    </row>
    <row r="11" spans="2:15" x14ac:dyDescent="0.25">
      <c r="B11" s="3" t="s">
        <v>201</v>
      </c>
      <c r="I11" s="21">
        <f t="shared" ref="I11:N11" si="0">SUM(I6:I10)</f>
        <v>0</v>
      </c>
      <c r="J11" s="21">
        <f t="shared" si="0"/>
        <v>-40</v>
      </c>
      <c r="K11" s="21">
        <f t="shared" si="0"/>
        <v>-48.300000000000011</v>
      </c>
      <c r="L11" s="21">
        <f t="shared" si="0"/>
        <v>-10.4</v>
      </c>
      <c r="M11" s="21">
        <f t="shared" si="0"/>
        <v>0</v>
      </c>
      <c r="N11" s="21">
        <f t="shared" si="0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2"/>
  <sheetViews>
    <sheetView showGridLines="0" workbookViewId="0"/>
  </sheetViews>
  <sheetFormatPr defaultRowHeight="15" x14ac:dyDescent="0.25"/>
  <cols>
    <col min="1" max="1" width="3" customWidth="1"/>
    <col min="2" max="2" width="50" customWidth="1"/>
    <col min="3" max="8" width="13" customWidth="1"/>
    <col min="9" max="10" width="14" customWidth="1"/>
  </cols>
  <sheetData>
    <row r="2" spans="2:10" ht="16.5" x14ac:dyDescent="0.25">
      <c r="B2" s="1" t="s">
        <v>202</v>
      </c>
    </row>
    <row r="3" spans="2:10" ht="24" x14ac:dyDescent="0.25">
      <c r="B3" s="20" t="s">
        <v>203</v>
      </c>
    </row>
    <row r="5" spans="2:10" x14ac:dyDescent="0.25">
      <c r="B5" s="10" t="s">
        <v>204</v>
      </c>
      <c r="C5" s="10" t="s">
        <v>76</v>
      </c>
      <c r="D5" s="10" t="s">
        <v>81</v>
      </c>
      <c r="E5" s="10" t="s">
        <v>86</v>
      </c>
      <c r="F5" s="10" t="s">
        <v>91</v>
      </c>
      <c r="G5" s="10" t="s">
        <v>96</v>
      </c>
      <c r="H5" s="10" t="s">
        <v>101</v>
      </c>
      <c r="I5" s="10" t="s">
        <v>205</v>
      </c>
      <c r="J5" s="10" t="s">
        <v>123</v>
      </c>
    </row>
    <row r="6" spans="2:10" x14ac:dyDescent="0.25">
      <c r="B6" s="6" t="s">
        <v>206</v>
      </c>
      <c r="C6" s="12">
        <v>0</v>
      </c>
      <c r="D6" s="12">
        <v>-24</v>
      </c>
      <c r="E6" s="12">
        <v>-34</v>
      </c>
      <c r="F6" s="12">
        <v>0</v>
      </c>
      <c r="G6" s="12">
        <v>0</v>
      </c>
      <c r="H6" s="12">
        <v>0</v>
      </c>
      <c r="I6" s="15">
        <f t="shared" ref="I6:I11" si="0">SUM(C6:H6)</f>
        <v>-58</v>
      </c>
      <c r="J6" s="8" t="s">
        <v>150</v>
      </c>
    </row>
    <row r="7" spans="2:10" x14ac:dyDescent="0.25">
      <c r="B7" s="6" t="s">
        <v>207</v>
      </c>
      <c r="C7" s="12">
        <v>0</v>
      </c>
      <c r="D7" s="12">
        <v>-12</v>
      </c>
      <c r="E7" s="12">
        <v>-6</v>
      </c>
      <c r="F7" s="12">
        <v>0</v>
      </c>
      <c r="G7" s="12">
        <v>0</v>
      </c>
      <c r="H7" s="12">
        <v>0</v>
      </c>
      <c r="I7" s="15">
        <f t="shared" si="0"/>
        <v>-18</v>
      </c>
      <c r="J7" s="8" t="s">
        <v>150</v>
      </c>
    </row>
    <row r="8" spans="2:10" x14ac:dyDescent="0.25">
      <c r="B8" s="6" t="s">
        <v>208</v>
      </c>
      <c r="C8" s="12">
        <v>0</v>
      </c>
      <c r="D8" s="12">
        <v>-14</v>
      </c>
      <c r="E8" s="12">
        <v>-16</v>
      </c>
      <c r="F8" s="12">
        <v>-4</v>
      </c>
      <c r="G8" s="12">
        <v>0</v>
      </c>
      <c r="H8" s="12">
        <v>0</v>
      </c>
      <c r="I8" s="15">
        <f t="shared" si="0"/>
        <v>-34</v>
      </c>
      <c r="J8" s="8" t="s">
        <v>150</v>
      </c>
    </row>
    <row r="9" spans="2:10" x14ac:dyDescent="0.25">
      <c r="B9" s="6" t="s">
        <v>209</v>
      </c>
      <c r="C9" s="12">
        <v>0</v>
      </c>
      <c r="D9" s="12">
        <v>-9</v>
      </c>
      <c r="E9" s="12">
        <v>-7</v>
      </c>
      <c r="F9" s="12">
        <v>0</v>
      </c>
      <c r="G9" s="12">
        <v>0</v>
      </c>
      <c r="H9" s="12">
        <v>0</v>
      </c>
      <c r="I9" s="15">
        <f t="shared" si="0"/>
        <v>-16</v>
      </c>
      <c r="J9" s="8" t="s">
        <v>150</v>
      </c>
    </row>
    <row r="10" spans="2:10" x14ac:dyDescent="0.25">
      <c r="B10" s="6" t="s">
        <v>210</v>
      </c>
      <c r="C10" s="12">
        <v>0</v>
      </c>
      <c r="D10" s="12">
        <v>-4</v>
      </c>
      <c r="E10" s="12">
        <v>-7</v>
      </c>
      <c r="F10" s="12">
        <v>-3</v>
      </c>
      <c r="G10" s="12">
        <v>0</v>
      </c>
      <c r="H10" s="12">
        <v>0</v>
      </c>
      <c r="I10" s="15">
        <f t="shared" si="0"/>
        <v>-14</v>
      </c>
      <c r="J10" s="8" t="s">
        <v>150</v>
      </c>
    </row>
    <row r="11" spans="2:10" x14ac:dyDescent="0.25">
      <c r="B11" s="6" t="s">
        <v>211</v>
      </c>
      <c r="C11" s="12">
        <v>0</v>
      </c>
      <c r="D11" s="12">
        <v>-8</v>
      </c>
      <c r="E11" s="12">
        <v>-4</v>
      </c>
      <c r="F11" s="12">
        <v>0</v>
      </c>
      <c r="G11" s="12">
        <v>0</v>
      </c>
      <c r="H11" s="12">
        <v>0</v>
      </c>
      <c r="I11" s="15">
        <f t="shared" si="0"/>
        <v>-12</v>
      </c>
      <c r="J11" s="8" t="s">
        <v>165</v>
      </c>
    </row>
    <row r="12" spans="2:10" x14ac:dyDescent="0.25">
      <c r="B12" s="3" t="s">
        <v>212</v>
      </c>
      <c r="C12" s="21">
        <f t="shared" ref="C12:I12" si="1">SUM(C6:C11)</f>
        <v>0</v>
      </c>
      <c r="D12" s="21">
        <f t="shared" si="1"/>
        <v>-71</v>
      </c>
      <c r="E12" s="21">
        <f t="shared" si="1"/>
        <v>-74</v>
      </c>
      <c r="F12" s="21">
        <f t="shared" si="1"/>
        <v>-7</v>
      </c>
      <c r="G12" s="21">
        <f t="shared" si="1"/>
        <v>0</v>
      </c>
      <c r="H12" s="21">
        <f t="shared" si="1"/>
        <v>0</v>
      </c>
      <c r="I12" s="21">
        <f t="shared" si="1"/>
        <v>-152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34"/>
  <sheetViews>
    <sheetView showGridLines="0" workbookViewId="0"/>
  </sheetViews>
  <sheetFormatPr defaultRowHeight="15" x14ac:dyDescent="0.25"/>
  <cols>
    <col min="1" max="1" width="3" customWidth="1"/>
    <col min="2" max="2" width="50" customWidth="1"/>
    <col min="3" max="8" width="13" customWidth="1"/>
    <col min="9" max="9" width="9" customWidth="1"/>
    <col min="10" max="10" width="11" customWidth="1"/>
    <col min="11" max="11" width="13" customWidth="1"/>
    <col min="12" max="12" width="12" customWidth="1"/>
    <col min="13" max="13" width="9" customWidth="1"/>
    <col min="14" max="14" width="10" customWidth="1"/>
    <col min="15" max="15" width="8" customWidth="1"/>
    <col min="16" max="16" width="46" customWidth="1"/>
    <col min="17" max="17" width="8" customWidth="1"/>
    <col min="18" max="18" width="12" customWidth="1"/>
  </cols>
  <sheetData>
    <row r="2" spans="2:18" ht="16.5" x14ac:dyDescent="0.25">
      <c r="B2" s="1" t="s">
        <v>213</v>
      </c>
    </row>
    <row r="3" spans="2:18" ht="36" x14ac:dyDescent="0.25">
      <c r="B3" s="20" t="s">
        <v>214</v>
      </c>
    </row>
    <row r="5" spans="2:18" x14ac:dyDescent="0.25">
      <c r="B5" s="10" t="s">
        <v>215</v>
      </c>
      <c r="C5" s="10" t="s">
        <v>76</v>
      </c>
      <c r="D5" s="10" t="s">
        <v>81</v>
      </c>
      <c r="E5" s="10" t="s">
        <v>86</v>
      </c>
      <c r="F5" s="10" t="s">
        <v>91</v>
      </c>
      <c r="G5" s="10" t="s">
        <v>96</v>
      </c>
      <c r="H5" s="10" t="s">
        <v>101</v>
      </c>
      <c r="I5" s="10" t="s">
        <v>216</v>
      </c>
      <c r="J5" s="10" t="s">
        <v>217</v>
      </c>
      <c r="K5" s="10" t="s">
        <v>218</v>
      </c>
      <c r="L5" s="10" t="s">
        <v>219</v>
      </c>
      <c r="M5" s="10" t="s">
        <v>72</v>
      </c>
      <c r="N5" s="10" t="s">
        <v>220</v>
      </c>
      <c r="O5" s="10" t="s">
        <v>221</v>
      </c>
      <c r="P5" s="10" t="s">
        <v>173</v>
      </c>
      <c r="Q5" s="10" t="s">
        <v>124</v>
      </c>
      <c r="R5" s="10" t="s">
        <v>123</v>
      </c>
    </row>
    <row r="6" spans="2:18" ht="22.5" x14ac:dyDescent="0.25">
      <c r="B6" s="6" t="s">
        <v>222</v>
      </c>
      <c r="C6" s="15">
        <v>1142.8571428571429</v>
      </c>
      <c r="D6" s="15">
        <v>794.95478476190488</v>
      </c>
      <c r="E6" s="15">
        <v>1243.9531420571429</v>
      </c>
      <c r="F6" s="15">
        <v>1297.492175906857</v>
      </c>
      <c r="G6" s="15">
        <v>1353.1239939597031</v>
      </c>
      <c r="H6" s="15">
        <v>1410.925978137403</v>
      </c>
      <c r="I6" s="8" t="s">
        <v>223</v>
      </c>
      <c r="J6" s="8" t="s">
        <v>224</v>
      </c>
      <c r="K6" s="8" t="s">
        <v>225</v>
      </c>
      <c r="L6" s="8" t="s">
        <v>226</v>
      </c>
      <c r="M6" s="8" t="s">
        <v>81</v>
      </c>
      <c r="N6" s="8" t="s">
        <v>227</v>
      </c>
      <c r="O6" s="8" t="s">
        <v>227</v>
      </c>
      <c r="P6" s="13" t="s">
        <v>228</v>
      </c>
      <c r="Q6" s="8" t="s">
        <v>25</v>
      </c>
      <c r="R6" s="8" t="s">
        <v>133</v>
      </c>
    </row>
    <row r="7" spans="2:18" x14ac:dyDescent="0.25">
      <c r="B7" s="6" t="s">
        <v>229</v>
      </c>
      <c r="C7" s="15">
        <v>0</v>
      </c>
      <c r="D7" s="15">
        <v>54.362026666666672</v>
      </c>
      <c r="E7" s="15">
        <v>83.989331199999995</v>
      </c>
      <c r="F7" s="15">
        <v>86.509011135999998</v>
      </c>
      <c r="G7" s="15">
        <v>89.104281470080011</v>
      </c>
      <c r="H7" s="15">
        <v>91.777409914182414</v>
      </c>
      <c r="I7" s="8" t="s">
        <v>230</v>
      </c>
      <c r="J7" s="8" t="s">
        <v>224</v>
      </c>
      <c r="K7" s="8" t="s">
        <v>225</v>
      </c>
      <c r="L7" s="8" t="s">
        <v>226</v>
      </c>
      <c r="M7" s="8" t="s">
        <v>81</v>
      </c>
      <c r="N7" s="8" t="s">
        <v>227</v>
      </c>
      <c r="O7" s="8" t="s">
        <v>227</v>
      </c>
      <c r="P7" s="13" t="s">
        <v>231</v>
      </c>
      <c r="Q7" s="8" t="s">
        <v>25</v>
      </c>
      <c r="R7" s="8" t="s">
        <v>150</v>
      </c>
    </row>
    <row r="8" spans="2:18" x14ac:dyDescent="0.25">
      <c r="B8" s="6" t="s">
        <v>182</v>
      </c>
      <c r="C8" s="23">
        <f>'M3 Stand-alone'!D11</f>
        <v>0</v>
      </c>
      <c r="D8" s="23">
        <f>'M3 Stand-alone'!E11</f>
        <v>-10</v>
      </c>
      <c r="E8" s="23">
        <f>'M3 Stand-alone'!F11</f>
        <v>-28</v>
      </c>
      <c r="F8" s="23">
        <f>'M3 Stand-alone'!G11</f>
        <v>-40</v>
      </c>
      <c r="G8" s="23">
        <f>'M3 Stand-alone'!H11</f>
        <v>-40</v>
      </c>
      <c r="H8" s="23">
        <f>'M3 Stand-alone'!I11</f>
        <v>-40</v>
      </c>
      <c r="I8" s="8" t="s">
        <v>232</v>
      </c>
      <c r="J8" s="8" t="s">
        <v>233</v>
      </c>
      <c r="K8" s="8" t="s">
        <v>225</v>
      </c>
      <c r="L8" s="8" t="s">
        <v>226</v>
      </c>
      <c r="M8" s="8" t="s">
        <v>81</v>
      </c>
      <c r="N8" s="8" t="s">
        <v>227</v>
      </c>
      <c r="O8" s="8" t="s">
        <v>227</v>
      </c>
      <c r="P8" s="13" t="s">
        <v>175</v>
      </c>
      <c r="Q8" s="8" t="s">
        <v>25</v>
      </c>
      <c r="R8" s="8" t="s">
        <v>150</v>
      </c>
    </row>
    <row r="9" spans="2:18" ht="22.5" x14ac:dyDescent="0.25">
      <c r="B9" s="6" t="s">
        <v>183</v>
      </c>
      <c r="C9" s="23">
        <f>'M3 Stand-alone'!D12</f>
        <v>0</v>
      </c>
      <c r="D9" s="23">
        <f>'M3 Stand-alone'!E12</f>
        <v>-12</v>
      </c>
      <c r="E9" s="23">
        <f>'M3 Stand-alone'!F12</f>
        <v>-25.5</v>
      </c>
      <c r="F9" s="23">
        <f>'M3 Stand-alone'!G12</f>
        <v>-30</v>
      </c>
      <c r="G9" s="23">
        <f>'M3 Stand-alone'!H12</f>
        <v>-30</v>
      </c>
      <c r="H9" s="23">
        <f>'M3 Stand-alone'!I12</f>
        <v>-30</v>
      </c>
      <c r="I9" s="8" t="s">
        <v>232</v>
      </c>
      <c r="J9" s="8" t="s">
        <v>233</v>
      </c>
      <c r="K9" s="8" t="s">
        <v>225</v>
      </c>
      <c r="L9" s="8" t="s">
        <v>226</v>
      </c>
      <c r="M9" s="8" t="s">
        <v>81</v>
      </c>
      <c r="N9" s="8" t="s">
        <v>227</v>
      </c>
      <c r="O9" s="8" t="s">
        <v>227</v>
      </c>
      <c r="P9" s="13" t="s">
        <v>177</v>
      </c>
      <c r="Q9" s="8" t="s">
        <v>25</v>
      </c>
      <c r="R9" s="8" t="s">
        <v>150</v>
      </c>
    </row>
    <row r="10" spans="2:18" x14ac:dyDescent="0.25">
      <c r="B10" s="6" t="s">
        <v>184</v>
      </c>
      <c r="C10" s="23">
        <f>'M3 Stand-alone'!D13</f>
        <v>0</v>
      </c>
      <c r="D10" s="23">
        <f>'M3 Stand-alone'!E13</f>
        <v>-12.5</v>
      </c>
      <c r="E10" s="23">
        <f>'M3 Stand-alone'!F13</f>
        <v>-25</v>
      </c>
      <c r="F10" s="23">
        <f>'M3 Stand-alone'!G13</f>
        <v>-25</v>
      </c>
      <c r="G10" s="23">
        <f>'M3 Stand-alone'!H13</f>
        <v>-25</v>
      </c>
      <c r="H10" s="23">
        <f>'M3 Stand-alone'!I13</f>
        <v>-25</v>
      </c>
      <c r="I10" s="8" t="s">
        <v>232</v>
      </c>
      <c r="J10" s="8" t="s">
        <v>233</v>
      </c>
      <c r="K10" s="8" t="s">
        <v>225</v>
      </c>
      <c r="L10" s="8" t="s">
        <v>226</v>
      </c>
      <c r="M10" s="8" t="s">
        <v>81</v>
      </c>
      <c r="N10" s="8" t="s">
        <v>227</v>
      </c>
      <c r="O10" s="8" t="s">
        <v>227</v>
      </c>
      <c r="P10" s="13" t="s">
        <v>179</v>
      </c>
      <c r="Q10" s="8" t="s">
        <v>25</v>
      </c>
      <c r="R10" s="8" t="s">
        <v>150</v>
      </c>
    </row>
    <row r="11" spans="2:18" x14ac:dyDescent="0.25">
      <c r="B11" s="6" t="s">
        <v>185</v>
      </c>
      <c r="C11" s="23">
        <f>'M3 Stand-alone'!D14</f>
        <v>0</v>
      </c>
      <c r="D11" s="23">
        <f>'M3 Stand-alone'!E14</f>
        <v>-11.25</v>
      </c>
      <c r="E11" s="23">
        <f>'M3 Stand-alone'!F14</f>
        <v>-22.5</v>
      </c>
      <c r="F11" s="23">
        <f>'M3 Stand-alone'!G14</f>
        <v>-25</v>
      </c>
      <c r="G11" s="23">
        <f>'M3 Stand-alone'!H14</f>
        <v>-25</v>
      </c>
      <c r="H11" s="23">
        <f>'M3 Stand-alone'!I14</f>
        <v>-25</v>
      </c>
      <c r="I11" s="8" t="s">
        <v>232</v>
      </c>
      <c r="J11" s="8" t="s">
        <v>233</v>
      </c>
      <c r="K11" s="8" t="s">
        <v>225</v>
      </c>
      <c r="L11" s="8" t="s">
        <v>226</v>
      </c>
      <c r="M11" s="8" t="s">
        <v>81</v>
      </c>
      <c r="N11" s="8" t="s">
        <v>227</v>
      </c>
      <c r="O11" s="8" t="s">
        <v>227</v>
      </c>
      <c r="P11" s="13" t="s">
        <v>181</v>
      </c>
      <c r="Q11" s="8" t="s">
        <v>25</v>
      </c>
      <c r="R11" s="8" t="s">
        <v>150</v>
      </c>
    </row>
    <row r="12" spans="2:18" x14ac:dyDescent="0.25">
      <c r="B12" s="6" t="s">
        <v>234</v>
      </c>
      <c r="C12" s="23">
        <f>'M4 TSA'!I6</f>
        <v>0</v>
      </c>
      <c r="D12" s="23">
        <f>'M4 TSA'!J6</f>
        <v>-16.8</v>
      </c>
      <c r="E12" s="23">
        <f>'M4 TSA'!K6</f>
        <v>-25.20000000000001</v>
      </c>
      <c r="F12" s="23">
        <f>'M4 TSA'!L6</f>
        <v>-8.4</v>
      </c>
      <c r="G12" s="23">
        <f>'M4 TSA'!M6</f>
        <v>0</v>
      </c>
      <c r="H12" s="23">
        <f>'M4 TSA'!N6</f>
        <v>0</v>
      </c>
      <c r="I12" s="8" t="s">
        <v>235</v>
      </c>
      <c r="J12" s="8" t="s">
        <v>236</v>
      </c>
      <c r="K12" s="8" t="s">
        <v>225</v>
      </c>
      <c r="L12" s="8" t="s">
        <v>237</v>
      </c>
      <c r="M12" s="8" t="s">
        <v>81</v>
      </c>
      <c r="N12" s="8" t="s">
        <v>91</v>
      </c>
      <c r="O12" s="8" t="s">
        <v>227</v>
      </c>
      <c r="P12" s="13" t="s">
        <v>238</v>
      </c>
      <c r="Q12" s="8" t="s">
        <v>25</v>
      </c>
      <c r="R12" s="8" t="s">
        <v>150</v>
      </c>
    </row>
    <row r="13" spans="2:18" x14ac:dyDescent="0.25">
      <c r="B13" s="6" t="s">
        <v>239</v>
      </c>
      <c r="C13" s="23">
        <f>'M4 TSA'!I7</f>
        <v>0</v>
      </c>
      <c r="D13" s="23">
        <f>'M4 TSA'!J7</f>
        <v>-10</v>
      </c>
      <c r="E13" s="23">
        <f>'M4 TSA'!K7</f>
        <v>-12.5</v>
      </c>
      <c r="F13" s="23">
        <f>'M4 TSA'!L7</f>
        <v>0</v>
      </c>
      <c r="G13" s="23">
        <f>'M4 TSA'!M7</f>
        <v>0</v>
      </c>
      <c r="H13" s="23">
        <f>'M4 TSA'!N7</f>
        <v>0</v>
      </c>
      <c r="I13" s="8" t="s">
        <v>235</v>
      </c>
      <c r="J13" s="8" t="s">
        <v>236</v>
      </c>
      <c r="K13" s="8" t="s">
        <v>225</v>
      </c>
      <c r="L13" s="8" t="s">
        <v>237</v>
      </c>
      <c r="M13" s="8" t="s">
        <v>81</v>
      </c>
      <c r="N13" s="8" t="s">
        <v>86</v>
      </c>
      <c r="O13" s="8" t="s">
        <v>227</v>
      </c>
      <c r="P13" s="13" t="s">
        <v>240</v>
      </c>
      <c r="Q13" s="8" t="s">
        <v>25</v>
      </c>
      <c r="R13" s="8" t="s">
        <v>150</v>
      </c>
    </row>
    <row r="14" spans="2:18" x14ac:dyDescent="0.25">
      <c r="B14" s="6" t="s">
        <v>241</v>
      </c>
      <c r="C14" s="23">
        <f>'M4 TSA'!I8</f>
        <v>0</v>
      </c>
      <c r="D14" s="23">
        <f>'M4 TSA'!J8</f>
        <v>-6.7999999999999989</v>
      </c>
      <c r="E14" s="23">
        <f>'M4 TSA'!K8</f>
        <v>-3.4</v>
      </c>
      <c r="F14" s="23">
        <f>'M4 TSA'!L8</f>
        <v>0</v>
      </c>
      <c r="G14" s="23">
        <f>'M4 TSA'!M8</f>
        <v>0</v>
      </c>
      <c r="H14" s="23">
        <f>'M4 TSA'!N8</f>
        <v>0</v>
      </c>
      <c r="I14" s="8" t="s">
        <v>235</v>
      </c>
      <c r="J14" s="8" t="s">
        <v>236</v>
      </c>
      <c r="K14" s="8" t="s">
        <v>225</v>
      </c>
      <c r="L14" s="8" t="s">
        <v>237</v>
      </c>
      <c r="M14" s="8" t="s">
        <v>81</v>
      </c>
      <c r="N14" s="8" t="s">
        <v>86</v>
      </c>
      <c r="O14" s="8" t="s">
        <v>227</v>
      </c>
      <c r="P14" s="13" t="s">
        <v>242</v>
      </c>
      <c r="Q14" s="8" t="s">
        <v>25</v>
      </c>
      <c r="R14" s="8" t="s">
        <v>150</v>
      </c>
    </row>
    <row r="15" spans="2:18" x14ac:dyDescent="0.25">
      <c r="B15" s="6" t="s">
        <v>243</v>
      </c>
      <c r="C15" s="23">
        <f>'M4 TSA'!I9</f>
        <v>0</v>
      </c>
      <c r="D15" s="23">
        <f>'M4 TSA'!J9</f>
        <v>-4</v>
      </c>
      <c r="E15" s="23">
        <f>'M4 TSA'!K9</f>
        <v>-6</v>
      </c>
      <c r="F15" s="23">
        <f>'M4 TSA'!L9</f>
        <v>-2</v>
      </c>
      <c r="G15" s="23">
        <f>'M4 TSA'!M9</f>
        <v>0</v>
      </c>
      <c r="H15" s="23">
        <f>'M4 TSA'!N9</f>
        <v>0</v>
      </c>
      <c r="I15" s="8" t="s">
        <v>235</v>
      </c>
      <c r="J15" s="8" t="s">
        <v>236</v>
      </c>
      <c r="K15" s="8" t="s">
        <v>225</v>
      </c>
      <c r="L15" s="8" t="s">
        <v>237</v>
      </c>
      <c r="M15" s="8" t="s">
        <v>81</v>
      </c>
      <c r="N15" s="8" t="s">
        <v>91</v>
      </c>
      <c r="O15" s="8" t="s">
        <v>227</v>
      </c>
      <c r="P15" s="13" t="s">
        <v>244</v>
      </c>
      <c r="Q15" s="8" t="s">
        <v>25</v>
      </c>
      <c r="R15" s="8" t="s">
        <v>150</v>
      </c>
    </row>
    <row r="16" spans="2:18" x14ac:dyDescent="0.25">
      <c r="B16" s="6" t="s">
        <v>245</v>
      </c>
      <c r="C16" s="23">
        <f>'M4 TSA'!I10</f>
        <v>0</v>
      </c>
      <c r="D16" s="23">
        <f>'M4 TSA'!J10</f>
        <v>-2.4</v>
      </c>
      <c r="E16" s="23">
        <f>'M4 TSA'!K10</f>
        <v>-1.2</v>
      </c>
      <c r="F16" s="23">
        <f>'M4 TSA'!L10</f>
        <v>0</v>
      </c>
      <c r="G16" s="23">
        <f>'M4 TSA'!M10</f>
        <v>0</v>
      </c>
      <c r="H16" s="23">
        <f>'M4 TSA'!N10</f>
        <v>0</v>
      </c>
      <c r="I16" s="8" t="s">
        <v>235</v>
      </c>
      <c r="J16" s="8" t="s">
        <v>236</v>
      </c>
      <c r="K16" s="8" t="s">
        <v>225</v>
      </c>
      <c r="L16" s="8" t="s">
        <v>237</v>
      </c>
      <c r="M16" s="8" t="s">
        <v>81</v>
      </c>
      <c r="N16" s="8" t="s">
        <v>86</v>
      </c>
      <c r="O16" s="8" t="s">
        <v>227</v>
      </c>
      <c r="P16" s="13" t="s">
        <v>246</v>
      </c>
      <c r="Q16" s="8" t="s">
        <v>25</v>
      </c>
      <c r="R16" s="8" t="s">
        <v>150</v>
      </c>
    </row>
    <row r="17" spans="2:18" x14ac:dyDescent="0.25">
      <c r="B17" s="6" t="s">
        <v>247</v>
      </c>
      <c r="C17" s="23">
        <f>'M5 One-offs'!C6</f>
        <v>0</v>
      </c>
      <c r="D17" s="23">
        <f>'M5 One-offs'!D6</f>
        <v>-24</v>
      </c>
      <c r="E17" s="23">
        <f>'M5 One-offs'!E6</f>
        <v>-34</v>
      </c>
      <c r="F17" s="23">
        <f>'M5 One-offs'!F6</f>
        <v>0</v>
      </c>
      <c r="G17" s="23">
        <f>'M5 One-offs'!G6</f>
        <v>0</v>
      </c>
      <c r="H17" s="23">
        <f>'M5 One-offs'!H6</f>
        <v>0</v>
      </c>
      <c r="I17" s="8" t="s">
        <v>248</v>
      </c>
      <c r="J17" s="8" t="s">
        <v>249</v>
      </c>
      <c r="K17" s="8" t="s">
        <v>225</v>
      </c>
      <c r="L17" s="8" t="s">
        <v>237</v>
      </c>
      <c r="M17" s="8" t="s">
        <v>81</v>
      </c>
      <c r="N17" s="8" t="s">
        <v>86</v>
      </c>
      <c r="O17" s="8" t="s">
        <v>227</v>
      </c>
      <c r="P17" s="13" t="s">
        <v>250</v>
      </c>
      <c r="Q17" s="8" t="s">
        <v>25</v>
      </c>
      <c r="R17" s="8" t="s">
        <v>150</v>
      </c>
    </row>
    <row r="18" spans="2:18" x14ac:dyDescent="0.25">
      <c r="B18" s="6" t="s">
        <v>251</v>
      </c>
      <c r="C18" s="23">
        <f>'M5 One-offs'!C7</f>
        <v>0</v>
      </c>
      <c r="D18" s="23">
        <f>'M5 One-offs'!D7</f>
        <v>-12</v>
      </c>
      <c r="E18" s="23">
        <f>'M5 One-offs'!E7</f>
        <v>-6</v>
      </c>
      <c r="F18" s="23">
        <f>'M5 One-offs'!F7</f>
        <v>0</v>
      </c>
      <c r="G18" s="23">
        <f>'M5 One-offs'!G7</f>
        <v>0</v>
      </c>
      <c r="H18" s="23">
        <f>'M5 One-offs'!H7</f>
        <v>0</v>
      </c>
      <c r="I18" s="8" t="s">
        <v>248</v>
      </c>
      <c r="J18" s="8" t="s">
        <v>249</v>
      </c>
      <c r="K18" s="8" t="s">
        <v>225</v>
      </c>
      <c r="L18" s="8" t="s">
        <v>237</v>
      </c>
      <c r="M18" s="8" t="s">
        <v>81</v>
      </c>
      <c r="N18" s="8" t="s">
        <v>86</v>
      </c>
      <c r="O18" s="8" t="s">
        <v>227</v>
      </c>
      <c r="P18" s="13" t="s">
        <v>250</v>
      </c>
      <c r="Q18" s="8" t="s">
        <v>25</v>
      </c>
      <c r="R18" s="8" t="s">
        <v>150</v>
      </c>
    </row>
    <row r="19" spans="2:18" x14ac:dyDescent="0.25">
      <c r="B19" s="6" t="s">
        <v>252</v>
      </c>
      <c r="C19" s="23">
        <f>'M5 One-offs'!C8</f>
        <v>0</v>
      </c>
      <c r="D19" s="23">
        <f>'M5 One-offs'!D8</f>
        <v>-14</v>
      </c>
      <c r="E19" s="23">
        <f>'M5 One-offs'!E8</f>
        <v>-16</v>
      </c>
      <c r="F19" s="23">
        <f>'M5 One-offs'!F8</f>
        <v>-4</v>
      </c>
      <c r="G19" s="23">
        <f>'M5 One-offs'!G8</f>
        <v>0</v>
      </c>
      <c r="H19" s="23">
        <f>'M5 One-offs'!H8</f>
        <v>0</v>
      </c>
      <c r="I19" s="8" t="s">
        <v>248</v>
      </c>
      <c r="J19" s="8" t="s">
        <v>249</v>
      </c>
      <c r="K19" s="8" t="s">
        <v>225</v>
      </c>
      <c r="L19" s="8" t="s">
        <v>237</v>
      </c>
      <c r="M19" s="8" t="s">
        <v>81</v>
      </c>
      <c r="N19" s="8" t="s">
        <v>91</v>
      </c>
      <c r="O19" s="8" t="s">
        <v>227</v>
      </c>
      <c r="P19" s="13" t="s">
        <v>250</v>
      </c>
      <c r="Q19" s="8" t="s">
        <v>25</v>
      </c>
      <c r="R19" s="8" t="s">
        <v>150</v>
      </c>
    </row>
    <row r="20" spans="2:18" x14ac:dyDescent="0.25">
      <c r="B20" s="6" t="s">
        <v>253</v>
      </c>
      <c r="C20" s="23">
        <f>'M5 One-offs'!C9</f>
        <v>0</v>
      </c>
      <c r="D20" s="23">
        <f>'M5 One-offs'!D9</f>
        <v>-9</v>
      </c>
      <c r="E20" s="23">
        <f>'M5 One-offs'!E9</f>
        <v>-7</v>
      </c>
      <c r="F20" s="23">
        <f>'M5 One-offs'!F9</f>
        <v>0</v>
      </c>
      <c r="G20" s="23">
        <f>'M5 One-offs'!G9</f>
        <v>0</v>
      </c>
      <c r="H20" s="23">
        <f>'M5 One-offs'!H9</f>
        <v>0</v>
      </c>
      <c r="I20" s="8" t="s">
        <v>248</v>
      </c>
      <c r="J20" s="8" t="s">
        <v>249</v>
      </c>
      <c r="K20" s="8" t="s">
        <v>225</v>
      </c>
      <c r="L20" s="8" t="s">
        <v>237</v>
      </c>
      <c r="M20" s="8" t="s">
        <v>81</v>
      </c>
      <c r="N20" s="8" t="s">
        <v>86</v>
      </c>
      <c r="O20" s="8" t="s">
        <v>227</v>
      </c>
      <c r="P20" s="13" t="s">
        <v>250</v>
      </c>
      <c r="Q20" s="8" t="s">
        <v>25</v>
      </c>
      <c r="R20" s="8" t="s">
        <v>150</v>
      </c>
    </row>
    <row r="21" spans="2:18" x14ac:dyDescent="0.25">
      <c r="B21" s="6" t="s">
        <v>254</v>
      </c>
      <c r="C21" s="23">
        <f>'M5 One-offs'!C10</f>
        <v>0</v>
      </c>
      <c r="D21" s="23">
        <f>'M5 One-offs'!D10</f>
        <v>-4</v>
      </c>
      <c r="E21" s="23">
        <f>'M5 One-offs'!E10</f>
        <v>-7</v>
      </c>
      <c r="F21" s="23">
        <f>'M5 One-offs'!F10</f>
        <v>-3</v>
      </c>
      <c r="G21" s="23">
        <f>'M5 One-offs'!G10</f>
        <v>0</v>
      </c>
      <c r="H21" s="23">
        <f>'M5 One-offs'!H10</f>
        <v>0</v>
      </c>
      <c r="I21" s="8" t="s">
        <v>248</v>
      </c>
      <c r="J21" s="8" t="s">
        <v>249</v>
      </c>
      <c r="K21" s="8" t="s">
        <v>225</v>
      </c>
      <c r="L21" s="8" t="s">
        <v>237</v>
      </c>
      <c r="M21" s="8" t="s">
        <v>81</v>
      </c>
      <c r="N21" s="8" t="s">
        <v>91</v>
      </c>
      <c r="O21" s="8" t="s">
        <v>227</v>
      </c>
      <c r="P21" s="13" t="s">
        <v>250</v>
      </c>
      <c r="Q21" s="8" t="s">
        <v>25</v>
      </c>
      <c r="R21" s="8" t="s">
        <v>150</v>
      </c>
    </row>
    <row r="22" spans="2:18" x14ac:dyDescent="0.25">
      <c r="B22" s="6" t="s">
        <v>255</v>
      </c>
      <c r="C22" s="23">
        <f>'M5 One-offs'!C11</f>
        <v>0</v>
      </c>
      <c r="D22" s="23">
        <f>'M5 One-offs'!D11</f>
        <v>-8</v>
      </c>
      <c r="E22" s="23">
        <f>'M5 One-offs'!E11</f>
        <v>-4</v>
      </c>
      <c r="F22" s="23">
        <f>'M5 One-offs'!F11</f>
        <v>0</v>
      </c>
      <c r="G22" s="23">
        <f>'M5 One-offs'!G11</f>
        <v>0</v>
      </c>
      <c r="H22" s="23">
        <f>'M5 One-offs'!H11</f>
        <v>0</v>
      </c>
      <c r="I22" s="8" t="s">
        <v>248</v>
      </c>
      <c r="J22" s="8" t="s">
        <v>249</v>
      </c>
      <c r="K22" s="8" t="s">
        <v>225</v>
      </c>
      <c r="L22" s="8" t="s">
        <v>237</v>
      </c>
      <c r="M22" s="8" t="s">
        <v>81</v>
      </c>
      <c r="N22" s="8" t="s">
        <v>86</v>
      </c>
      <c r="O22" s="8" t="s">
        <v>227</v>
      </c>
      <c r="P22" s="13" t="s">
        <v>250</v>
      </c>
      <c r="Q22" s="8" t="s">
        <v>25</v>
      </c>
      <c r="R22" s="8" t="s">
        <v>165</v>
      </c>
    </row>
    <row r="23" spans="2:18" ht="22.5" x14ac:dyDescent="0.25">
      <c r="B23" s="6" t="s">
        <v>256</v>
      </c>
      <c r="C23" s="15">
        <v>0</v>
      </c>
      <c r="D23" s="15">
        <v>-20</v>
      </c>
      <c r="E23" s="15">
        <v>-20</v>
      </c>
      <c r="F23" s="15">
        <v>-5</v>
      </c>
      <c r="G23" s="15">
        <v>0</v>
      </c>
      <c r="H23" s="15">
        <v>0</v>
      </c>
      <c r="I23" s="8" t="s">
        <v>257</v>
      </c>
      <c r="J23" s="8" t="s">
        <v>258</v>
      </c>
      <c r="K23" s="8" t="s">
        <v>225</v>
      </c>
      <c r="L23" s="8" t="s">
        <v>237</v>
      </c>
      <c r="M23" s="8" t="s">
        <v>81</v>
      </c>
      <c r="N23" s="8" t="s">
        <v>91</v>
      </c>
      <c r="O23" s="8" t="s">
        <v>227</v>
      </c>
      <c r="P23" s="13" t="s">
        <v>259</v>
      </c>
      <c r="Q23" s="8" t="s">
        <v>25</v>
      </c>
      <c r="R23" s="8" t="s">
        <v>150</v>
      </c>
    </row>
    <row r="24" spans="2:18" ht="22.5" x14ac:dyDescent="0.25">
      <c r="B24" s="6" t="s">
        <v>260</v>
      </c>
      <c r="C24" s="15">
        <v>0</v>
      </c>
      <c r="D24" s="15">
        <v>-55</v>
      </c>
      <c r="E24" s="15">
        <v>-10</v>
      </c>
      <c r="F24" s="15">
        <v>0</v>
      </c>
      <c r="G24" s="15">
        <v>0</v>
      </c>
      <c r="H24" s="15">
        <v>0</v>
      </c>
      <c r="I24" s="8" t="s">
        <v>257</v>
      </c>
      <c r="J24" s="8" t="s">
        <v>258</v>
      </c>
      <c r="K24" s="8" t="s">
        <v>225</v>
      </c>
      <c r="L24" s="8" t="s">
        <v>237</v>
      </c>
      <c r="M24" s="8" t="s">
        <v>81</v>
      </c>
      <c r="N24" s="8" t="s">
        <v>86</v>
      </c>
      <c r="O24" s="8" t="s">
        <v>227</v>
      </c>
      <c r="P24" s="13" t="s">
        <v>261</v>
      </c>
      <c r="Q24" s="8" t="s">
        <v>25</v>
      </c>
      <c r="R24" s="8" t="s">
        <v>150</v>
      </c>
    </row>
    <row r="25" spans="2:18" x14ac:dyDescent="0.25">
      <c r="B25" s="6" t="s">
        <v>262</v>
      </c>
      <c r="C25" s="15">
        <v>0</v>
      </c>
      <c r="D25" s="15">
        <v>0</v>
      </c>
      <c r="E25" s="15">
        <v>0</v>
      </c>
      <c r="F25" s="15">
        <v>15</v>
      </c>
      <c r="G25" s="15">
        <v>50</v>
      </c>
      <c r="H25" s="15">
        <v>0</v>
      </c>
      <c r="I25" s="8" t="s">
        <v>257</v>
      </c>
      <c r="J25" s="8" t="s">
        <v>258</v>
      </c>
      <c r="K25" s="8" t="s">
        <v>225</v>
      </c>
      <c r="L25" s="8" t="s">
        <v>237</v>
      </c>
      <c r="M25" s="8" t="s">
        <v>91</v>
      </c>
      <c r="N25" s="8" t="s">
        <v>96</v>
      </c>
      <c r="O25" s="8" t="s">
        <v>263</v>
      </c>
      <c r="P25" s="13" t="s">
        <v>264</v>
      </c>
      <c r="Q25" s="8" t="s">
        <v>25</v>
      </c>
      <c r="R25" s="8" t="s">
        <v>150</v>
      </c>
    </row>
    <row r="26" spans="2:18" x14ac:dyDescent="0.25">
      <c r="B26" s="6" t="s">
        <v>265</v>
      </c>
      <c r="C26" s="15">
        <v>-251.42857142857139</v>
      </c>
      <c r="D26" s="15">
        <v>-176.78469851428571</v>
      </c>
      <c r="E26" s="15">
        <v>-269.92734411657142</v>
      </c>
      <c r="F26" s="15">
        <v>-278.08026114942862</v>
      </c>
      <c r="G26" s="15">
        <v>-290.89022059455232</v>
      </c>
      <c r="H26" s="15">
        <v>-304.19474537134892</v>
      </c>
      <c r="I26" s="8" t="s">
        <v>257</v>
      </c>
      <c r="J26" s="8" t="s">
        <v>224</v>
      </c>
      <c r="K26" s="8" t="s">
        <v>225</v>
      </c>
      <c r="L26" s="8" t="s">
        <v>226</v>
      </c>
      <c r="M26" s="8" t="s">
        <v>81</v>
      </c>
      <c r="N26" s="8" t="s">
        <v>227</v>
      </c>
      <c r="O26" s="8" t="s">
        <v>227</v>
      </c>
      <c r="P26" s="13" t="s">
        <v>266</v>
      </c>
      <c r="Q26" s="8" t="s">
        <v>25</v>
      </c>
      <c r="R26" s="8" t="s">
        <v>133</v>
      </c>
    </row>
    <row r="27" spans="2:18" x14ac:dyDescent="0.25">
      <c r="B27" s="6" t="s">
        <v>267</v>
      </c>
      <c r="C27" s="15">
        <v>0</v>
      </c>
      <c r="D27" s="15">
        <v>24.42</v>
      </c>
      <c r="E27" s="15">
        <v>26.905999999999999</v>
      </c>
      <c r="F27" s="15">
        <v>3.8279999999999998</v>
      </c>
      <c r="G27" s="15">
        <v>0</v>
      </c>
      <c r="H27" s="15">
        <v>0</v>
      </c>
      <c r="I27" s="8" t="s">
        <v>257</v>
      </c>
      <c r="J27" s="8" t="s">
        <v>224</v>
      </c>
      <c r="K27" s="8" t="s">
        <v>225</v>
      </c>
      <c r="L27" s="8" t="s">
        <v>237</v>
      </c>
      <c r="M27" s="8" t="s">
        <v>81</v>
      </c>
      <c r="N27" s="8" t="s">
        <v>91</v>
      </c>
      <c r="O27" s="8" t="s">
        <v>227</v>
      </c>
      <c r="P27" s="13" t="s">
        <v>268</v>
      </c>
      <c r="Q27" s="8" t="s">
        <v>25</v>
      </c>
      <c r="R27" s="8" t="s">
        <v>133</v>
      </c>
    </row>
    <row r="28" spans="2:18" x14ac:dyDescent="0.25">
      <c r="B28" s="6" t="s">
        <v>269</v>
      </c>
      <c r="C28" s="15">
        <v>-123.7</v>
      </c>
      <c r="D28" s="15">
        <v>-84.940666666666687</v>
      </c>
      <c r="E28" s="15">
        <v>-131.23333</v>
      </c>
      <c r="F28" s="15">
        <v>-135.17032990000001</v>
      </c>
      <c r="G28" s="15">
        <v>-139.22543979700001</v>
      </c>
      <c r="H28" s="15">
        <v>-143.40220299091001</v>
      </c>
      <c r="I28" s="8" t="s">
        <v>257</v>
      </c>
      <c r="J28" s="8" t="s">
        <v>224</v>
      </c>
      <c r="K28" s="8" t="s">
        <v>225</v>
      </c>
      <c r="L28" s="8" t="s">
        <v>226</v>
      </c>
      <c r="M28" s="8" t="s">
        <v>81</v>
      </c>
      <c r="N28" s="8" t="s">
        <v>227</v>
      </c>
      <c r="O28" s="8" t="s">
        <v>227</v>
      </c>
      <c r="P28" s="13" t="s">
        <v>270</v>
      </c>
      <c r="Q28" s="8" t="s">
        <v>25</v>
      </c>
      <c r="R28" s="8" t="s">
        <v>150</v>
      </c>
    </row>
    <row r="29" spans="2:18" x14ac:dyDescent="0.25">
      <c r="B29" s="6" t="s">
        <v>271</v>
      </c>
      <c r="C29" s="15">
        <v>0</v>
      </c>
      <c r="D29" s="15">
        <v>-14.844000000000049</v>
      </c>
      <c r="E29" s="15">
        <v>-22.933979999999931</v>
      </c>
      <c r="F29" s="15">
        <v>-23.6219994</v>
      </c>
      <c r="G29" s="15">
        <v>-24.330659382000071</v>
      </c>
      <c r="H29" s="15">
        <v>-25.06057916346003</v>
      </c>
      <c r="I29" s="8" t="s">
        <v>257</v>
      </c>
      <c r="J29" s="8" t="s">
        <v>224</v>
      </c>
      <c r="K29" s="8" t="s">
        <v>225</v>
      </c>
      <c r="L29" s="8" t="s">
        <v>226</v>
      </c>
      <c r="M29" s="8" t="s">
        <v>81</v>
      </c>
      <c r="N29" s="8" t="s">
        <v>227</v>
      </c>
      <c r="O29" s="8" t="s">
        <v>227</v>
      </c>
      <c r="P29" s="13" t="s">
        <v>272</v>
      </c>
      <c r="Q29" s="8" t="s">
        <v>25</v>
      </c>
      <c r="R29" s="8" t="s">
        <v>150</v>
      </c>
    </row>
    <row r="30" spans="2:18" x14ac:dyDescent="0.25">
      <c r="B30" s="6" t="s">
        <v>273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8" t="s">
        <v>257</v>
      </c>
      <c r="J30" s="8" t="s">
        <v>224</v>
      </c>
      <c r="K30" s="8" t="s">
        <v>225</v>
      </c>
      <c r="L30" s="8" t="s">
        <v>226</v>
      </c>
      <c r="M30" s="8" t="s">
        <v>81</v>
      </c>
      <c r="N30" s="8" t="s">
        <v>227</v>
      </c>
      <c r="O30" s="8" t="s">
        <v>227</v>
      </c>
      <c r="P30" s="13" t="s">
        <v>274</v>
      </c>
      <c r="Q30" s="8" t="s">
        <v>25</v>
      </c>
      <c r="R30" s="8" t="s">
        <v>165</v>
      </c>
    </row>
    <row r="31" spans="2:18" x14ac:dyDescent="0.25">
      <c r="B31" s="3" t="s">
        <v>275</v>
      </c>
      <c r="C31" s="24">
        <f t="shared" ref="C31:H31" si="0">SUM(C6:C30)</f>
        <v>767.72857142857151</v>
      </c>
      <c r="D31" s="21">
        <f t="shared" si="0"/>
        <v>365.41744624761924</v>
      </c>
      <c r="E31" s="21">
        <f t="shared" si="0"/>
        <v>677.45381914057123</v>
      </c>
      <c r="F31" s="21">
        <f t="shared" si="0"/>
        <v>823.55659659342814</v>
      </c>
      <c r="G31" s="21">
        <f t="shared" si="0"/>
        <v>917.78195565623059</v>
      </c>
      <c r="H31" s="21">
        <f t="shared" si="0"/>
        <v>910.04586052586649</v>
      </c>
    </row>
    <row r="33" spans="2:9" ht="123.75" x14ac:dyDescent="0.25">
      <c r="B33" s="3" t="s">
        <v>276</v>
      </c>
      <c r="C33" s="21">
        <f>'M6 Bridge'!H6+'M6 Bridge'!H7+'M3 Stand-alone'!C15</f>
        <v>1382.7033880515855</v>
      </c>
      <c r="I33" s="13" t="s">
        <v>277</v>
      </c>
    </row>
    <row r="34" spans="2:9" ht="225" x14ac:dyDescent="0.25">
      <c r="B34" s="3" t="s">
        <v>278</v>
      </c>
      <c r="C34" s="21">
        <f>-('M4 TSA'!J11+'M5 One-offs'!D12+'M6 Bridge'!D23+'M4 TSA'!K11+'M5 One-offs'!E12+'M6 Bridge'!E23+'M4 TSA'!L11+'M5 One-offs'!F12+'M6 Bridge'!F23+'M4 TSA'!M11+'M5 One-offs'!G12+'M6 Bridge'!G23+'M4 TSA'!N11+'M5 One-offs'!H12+'M6 Bridge'!H23)</f>
        <v>295.7</v>
      </c>
      <c r="I34" s="13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79"/>
  <sheetViews>
    <sheetView showGridLines="0" workbookViewId="0"/>
  </sheetViews>
  <sheetFormatPr defaultRowHeight="15" x14ac:dyDescent="0.25"/>
  <cols>
    <col min="1" max="1" width="3" customWidth="1"/>
    <col min="2" max="2" width="52" customWidth="1"/>
    <col min="3" max="7" width="14" customWidth="1"/>
    <col min="8" max="8" width="13" customWidth="1"/>
    <col min="9" max="9" width="12" customWidth="1"/>
    <col min="10" max="10" width="9" customWidth="1"/>
    <col min="11" max="11" width="10" customWidth="1"/>
    <col min="12" max="12" width="46" customWidth="1"/>
  </cols>
  <sheetData>
    <row r="2" spans="2:12" ht="16.5" x14ac:dyDescent="0.25">
      <c r="B2" s="1" t="s">
        <v>280</v>
      </c>
    </row>
    <row r="3" spans="2:12" ht="48" x14ac:dyDescent="0.25">
      <c r="B3" s="20" t="s">
        <v>281</v>
      </c>
    </row>
    <row r="6" spans="2:12" x14ac:dyDescent="0.25">
      <c r="B6" s="2" t="s">
        <v>282</v>
      </c>
    </row>
    <row r="7" spans="2:12" ht="30" customHeight="1" x14ac:dyDescent="0.25">
      <c r="B7" s="13" t="s">
        <v>283</v>
      </c>
    </row>
    <row r="9" spans="2:12" x14ac:dyDescent="0.25">
      <c r="B9" s="10" t="s">
        <v>284</v>
      </c>
      <c r="C9" s="10" t="s">
        <v>81</v>
      </c>
      <c r="D9" s="10" t="s">
        <v>86</v>
      </c>
      <c r="E9" s="10" t="s">
        <v>91</v>
      </c>
      <c r="F9" s="10" t="s">
        <v>96</v>
      </c>
      <c r="G9" s="10" t="s">
        <v>101</v>
      </c>
      <c r="H9" s="10" t="s">
        <v>219</v>
      </c>
      <c r="I9" s="10" t="s">
        <v>220</v>
      </c>
      <c r="J9" s="10" t="s">
        <v>124</v>
      </c>
      <c r="K9" s="10" t="s">
        <v>123</v>
      </c>
      <c r="L9" s="10" t="s">
        <v>173</v>
      </c>
    </row>
    <row r="10" spans="2:12" x14ac:dyDescent="0.25">
      <c r="B10" s="6" t="s">
        <v>285</v>
      </c>
      <c r="C10" s="15">
        <v>794.95478476190488</v>
      </c>
      <c r="D10" s="15">
        <v>1243.9531420571429</v>
      </c>
      <c r="E10" s="15">
        <v>1297.492175906857</v>
      </c>
      <c r="F10" s="15">
        <v>1353.1239939597031</v>
      </c>
      <c r="G10" s="15">
        <v>1410.925978137403</v>
      </c>
      <c r="H10" s="8" t="s">
        <v>226</v>
      </c>
      <c r="I10" s="8" t="s">
        <v>227</v>
      </c>
      <c r="J10" s="8" t="s">
        <v>25</v>
      </c>
      <c r="K10" s="8" t="s">
        <v>133</v>
      </c>
      <c r="L10" s="13" t="s">
        <v>286</v>
      </c>
    </row>
    <row r="11" spans="2:12" x14ac:dyDescent="0.25">
      <c r="B11" s="6" t="s">
        <v>287</v>
      </c>
      <c r="C11" s="15">
        <v>-174.89005264761909</v>
      </c>
      <c r="D11" s="15">
        <v>-273.66969125257151</v>
      </c>
      <c r="E11" s="15">
        <v>-285.44827869950859</v>
      </c>
      <c r="F11" s="15">
        <v>-297.68727867113472</v>
      </c>
      <c r="G11" s="15">
        <v>-310.40371519022881</v>
      </c>
      <c r="H11" s="8" t="s">
        <v>226</v>
      </c>
      <c r="I11" s="8" t="s">
        <v>227</v>
      </c>
      <c r="J11" s="8" t="s">
        <v>25</v>
      </c>
      <c r="K11" s="8" t="s">
        <v>133</v>
      </c>
      <c r="L11" s="13" t="s">
        <v>288</v>
      </c>
    </row>
    <row r="12" spans="2:12" x14ac:dyDescent="0.25">
      <c r="B12" s="6" t="s">
        <v>289</v>
      </c>
      <c r="C12" s="15">
        <v>-84.940666666666687</v>
      </c>
      <c r="D12" s="15">
        <v>-131.23333</v>
      </c>
      <c r="E12" s="15">
        <v>-135.17032990000001</v>
      </c>
      <c r="F12" s="15">
        <v>-139.22543979700001</v>
      </c>
      <c r="G12" s="15">
        <v>-143.40220299091001</v>
      </c>
      <c r="H12" s="8" t="s">
        <v>226</v>
      </c>
      <c r="I12" s="8" t="s">
        <v>227</v>
      </c>
      <c r="J12" s="8" t="s">
        <v>25</v>
      </c>
      <c r="K12" s="8" t="s">
        <v>150</v>
      </c>
      <c r="L12" s="13" t="s">
        <v>290</v>
      </c>
    </row>
    <row r="13" spans="2:12" x14ac:dyDescent="0.25">
      <c r="B13" s="6" t="s">
        <v>291</v>
      </c>
      <c r="C13" s="15">
        <v>-14.844000000000049</v>
      </c>
      <c r="D13" s="15">
        <v>-22.933979999999931</v>
      </c>
      <c r="E13" s="15">
        <v>-23.6219994</v>
      </c>
      <c r="F13" s="15">
        <v>-24.330659382000071</v>
      </c>
      <c r="G13" s="15">
        <v>-25.06057916346003</v>
      </c>
      <c r="H13" s="8" t="s">
        <v>226</v>
      </c>
      <c r="I13" s="8" t="s">
        <v>227</v>
      </c>
      <c r="J13" s="8" t="s">
        <v>25</v>
      </c>
      <c r="K13" s="8" t="s">
        <v>150</v>
      </c>
      <c r="L13" s="13" t="s">
        <v>292</v>
      </c>
    </row>
    <row r="14" spans="2:12" x14ac:dyDescent="0.25">
      <c r="B14" s="6" t="s">
        <v>293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8" t="s">
        <v>226</v>
      </c>
      <c r="I14" s="8" t="s">
        <v>227</v>
      </c>
      <c r="J14" s="8" t="s">
        <v>25</v>
      </c>
      <c r="K14" s="8" t="s">
        <v>165</v>
      </c>
      <c r="L14" s="13" t="s">
        <v>294</v>
      </c>
    </row>
    <row r="15" spans="2:12" x14ac:dyDescent="0.25">
      <c r="B15" s="3" t="s">
        <v>295</v>
      </c>
      <c r="C15" s="21">
        <f>SUM(C10:C14)</f>
        <v>520.28006544761911</v>
      </c>
      <c r="D15" s="21">
        <f>SUM(D10:D14)</f>
        <v>816.1161408045715</v>
      </c>
      <c r="E15" s="21">
        <f>SUM(E10:E14)</f>
        <v>853.25156790734832</v>
      </c>
      <c r="F15" s="21">
        <f>SUM(F10:F14)</f>
        <v>891.88061610956834</v>
      </c>
      <c r="G15" s="21">
        <f>SUM(G10:G14)</f>
        <v>932.05948079280404</v>
      </c>
    </row>
    <row r="18" spans="2:12" x14ac:dyDescent="0.25">
      <c r="B18" s="2" t="s">
        <v>296</v>
      </c>
    </row>
    <row r="19" spans="2:12" ht="26.1" customHeight="1" x14ac:dyDescent="0.25">
      <c r="B19" s="13" t="s">
        <v>297</v>
      </c>
    </row>
    <row r="21" spans="2:12" x14ac:dyDescent="0.25">
      <c r="B21" s="10" t="s">
        <v>298</v>
      </c>
      <c r="C21" s="10" t="s">
        <v>81</v>
      </c>
      <c r="D21" s="10" t="s">
        <v>86</v>
      </c>
      <c r="E21" s="10" t="s">
        <v>91</v>
      </c>
      <c r="F21" s="10" t="s">
        <v>96</v>
      </c>
      <c r="G21" s="10" t="s">
        <v>101</v>
      </c>
      <c r="H21" s="10" t="s">
        <v>219</v>
      </c>
      <c r="I21" s="10" t="s">
        <v>220</v>
      </c>
      <c r="J21" s="10" t="s">
        <v>218</v>
      </c>
      <c r="K21" s="10" t="s">
        <v>217</v>
      </c>
      <c r="L21" s="10" t="s">
        <v>221</v>
      </c>
    </row>
    <row r="22" spans="2:12" x14ac:dyDescent="0.25">
      <c r="B22" s="25" t="s">
        <v>299</v>
      </c>
    </row>
    <row r="23" spans="2:12" x14ac:dyDescent="0.25">
      <c r="B23" s="6" t="s">
        <v>300</v>
      </c>
      <c r="C23" s="23">
        <f>-'M6 Bridge'!D6</f>
        <v>-794.95478476190488</v>
      </c>
      <c r="D23" s="23">
        <f>-'M6 Bridge'!E6</f>
        <v>-1243.9531420571429</v>
      </c>
      <c r="E23" s="23">
        <f>-'M6 Bridge'!F6</f>
        <v>-1297.492175906857</v>
      </c>
      <c r="F23" s="23">
        <f>-'M6 Bridge'!G6</f>
        <v>-1353.1239939597031</v>
      </c>
      <c r="G23" s="23">
        <f>-'M6 Bridge'!H6</f>
        <v>-1410.925978137403</v>
      </c>
      <c r="H23" s="8" t="s">
        <v>226</v>
      </c>
      <c r="I23" s="8" t="s">
        <v>227</v>
      </c>
      <c r="J23" s="8" t="s">
        <v>225</v>
      </c>
      <c r="K23" s="8" t="s">
        <v>224</v>
      </c>
      <c r="L23" s="8" t="s">
        <v>227</v>
      </c>
    </row>
    <row r="24" spans="2:12" x14ac:dyDescent="0.25">
      <c r="B24" s="6" t="s">
        <v>301</v>
      </c>
      <c r="C24" s="23">
        <f>-'M6 Bridge'!D7</f>
        <v>-54.362026666666672</v>
      </c>
      <c r="D24" s="23">
        <f>-'M6 Bridge'!E7</f>
        <v>-83.989331199999995</v>
      </c>
      <c r="E24" s="23">
        <f>-'M6 Bridge'!F7</f>
        <v>-86.509011135999998</v>
      </c>
      <c r="F24" s="23">
        <f>-'M6 Bridge'!G7</f>
        <v>-89.104281470080011</v>
      </c>
      <c r="G24" s="23">
        <f>-'M6 Bridge'!H7</f>
        <v>-91.777409914182414</v>
      </c>
      <c r="H24" s="8" t="s">
        <v>226</v>
      </c>
      <c r="I24" s="8" t="s">
        <v>227</v>
      </c>
      <c r="J24" s="8" t="s">
        <v>225</v>
      </c>
      <c r="K24" s="8" t="s">
        <v>224</v>
      </c>
      <c r="L24" s="8" t="s">
        <v>227</v>
      </c>
    </row>
    <row r="25" spans="2:12" x14ac:dyDescent="0.25">
      <c r="B25" s="6" t="s">
        <v>302</v>
      </c>
      <c r="C25" s="23">
        <f>-'M6 Bridge'!D8</f>
        <v>10</v>
      </c>
      <c r="D25" s="23">
        <f>-'M6 Bridge'!E8</f>
        <v>28</v>
      </c>
      <c r="E25" s="23">
        <f>-'M6 Bridge'!F8</f>
        <v>40</v>
      </c>
      <c r="F25" s="23">
        <f>-'M6 Bridge'!G8</f>
        <v>40</v>
      </c>
      <c r="G25" s="23">
        <f>-'M6 Bridge'!H8</f>
        <v>40</v>
      </c>
      <c r="H25" s="8" t="s">
        <v>226</v>
      </c>
      <c r="I25" s="8" t="s">
        <v>227</v>
      </c>
      <c r="J25" s="8" t="s">
        <v>225</v>
      </c>
      <c r="K25" s="8" t="s">
        <v>233</v>
      </c>
      <c r="L25" s="8" t="s">
        <v>227</v>
      </c>
    </row>
    <row r="26" spans="2:12" x14ac:dyDescent="0.25">
      <c r="B26" s="6" t="s">
        <v>303</v>
      </c>
      <c r="C26" s="23">
        <f>-'M6 Bridge'!D9</f>
        <v>12</v>
      </c>
      <c r="D26" s="23">
        <f>-'M6 Bridge'!E9</f>
        <v>25.5</v>
      </c>
      <c r="E26" s="23">
        <f>-'M6 Bridge'!F9</f>
        <v>30</v>
      </c>
      <c r="F26" s="23">
        <f>-'M6 Bridge'!G9</f>
        <v>30</v>
      </c>
      <c r="G26" s="23">
        <f>-'M6 Bridge'!H9</f>
        <v>30</v>
      </c>
      <c r="H26" s="8" t="s">
        <v>226</v>
      </c>
      <c r="I26" s="8" t="s">
        <v>227</v>
      </c>
      <c r="J26" s="8" t="s">
        <v>225</v>
      </c>
      <c r="K26" s="8" t="s">
        <v>233</v>
      </c>
      <c r="L26" s="8" t="s">
        <v>227</v>
      </c>
    </row>
    <row r="27" spans="2:12" x14ac:dyDescent="0.25">
      <c r="B27" s="6" t="s">
        <v>304</v>
      </c>
      <c r="C27" s="23">
        <f>-'M6 Bridge'!D10</f>
        <v>12.5</v>
      </c>
      <c r="D27" s="23">
        <f>-'M6 Bridge'!E10</f>
        <v>25</v>
      </c>
      <c r="E27" s="23">
        <f>-'M6 Bridge'!F10</f>
        <v>25</v>
      </c>
      <c r="F27" s="23">
        <f>-'M6 Bridge'!G10</f>
        <v>25</v>
      </c>
      <c r="G27" s="23">
        <f>-'M6 Bridge'!H10</f>
        <v>25</v>
      </c>
      <c r="H27" s="8" t="s">
        <v>226</v>
      </c>
      <c r="I27" s="8" t="s">
        <v>227</v>
      </c>
      <c r="J27" s="8" t="s">
        <v>225</v>
      </c>
      <c r="K27" s="8" t="s">
        <v>233</v>
      </c>
      <c r="L27" s="8" t="s">
        <v>227</v>
      </c>
    </row>
    <row r="28" spans="2:12" x14ac:dyDescent="0.25">
      <c r="B28" s="6" t="s">
        <v>305</v>
      </c>
      <c r="C28" s="23">
        <f>-'M6 Bridge'!D11</f>
        <v>11.25</v>
      </c>
      <c r="D28" s="23">
        <f>-'M6 Bridge'!E11</f>
        <v>22.5</v>
      </c>
      <c r="E28" s="23">
        <f>-'M6 Bridge'!F11</f>
        <v>25</v>
      </c>
      <c r="F28" s="23">
        <f>-'M6 Bridge'!G11</f>
        <v>25</v>
      </c>
      <c r="G28" s="23">
        <f>-'M6 Bridge'!H11</f>
        <v>25</v>
      </c>
      <c r="H28" s="8" t="s">
        <v>226</v>
      </c>
      <c r="I28" s="8" t="s">
        <v>227</v>
      </c>
      <c r="J28" s="8" t="s">
        <v>225</v>
      </c>
      <c r="K28" s="8" t="s">
        <v>233</v>
      </c>
      <c r="L28" s="8" t="s">
        <v>227</v>
      </c>
    </row>
    <row r="29" spans="2:12" x14ac:dyDescent="0.25">
      <c r="B29" s="6" t="s">
        <v>306</v>
      </c>
      <c r="C29" s="23">
        <f>-'M6 Bridge'!D26</f>
        <v>176.78469851428571</v>
      </c>
      <c r="D29" s="23">
        <f>-'M6 Bridge'!E26</f>
        <v>269.92734411657142</v>
      </c>
      <c r="E29" s="23">
        <f>-'M6 Bridge'!F26</f>
        <v>278.08026114942862</v>
      </c>
      <c r="F29" s="23">
        <f>-'M6 Bridge'!G26</f>
        <v>290.89022059455232</v>
      </c>
      <c r="G29" s="23">
        <f>-'M6 Bridge'!H26</f>
        <v>304.19474537134892</v>
      </c>
      <c r="H29" s="8" t="s">
        <v>226</v>
      </c>
      <c r="I29" s="8" t="s">
        <v>227</v>
      </c>
      <c r="J29" s="8" t="s">
        <v>225</v>
      </c>
      <c r="K29" s="8" t="s">
        <v>224</v>
      </c>
      <c r="L29" s="8" t="s">
        <v>227</v>
      </c>
    </row>
    <row r="30" spans="2:12" x14ac:dyDescent="0.25">
      <c r="B30" s="6" t="s">
        <v>307</v>
      </c>
      <c r="C30" s="23">
        <f>-'M6 Bridge'!D28</f>
        <v>84.940666666666687</v>
      </c>
      <c r="D30" s="23">
        <f>-'M6 Bridge'!E28</f>
        <v>131.23333</v>
      </c>
      <c r="E30" s="23">
        <f>-'M6 Bridge'!F28</f>
        <v>135.17032990000001</v>
      </c>
      <c r="F30" s="23">
        <f>-'M6 Bridge'!G28</f>
        <v>139.22543979700001</v>
      </c>
      <c r="G30" s="23">
        <f>-'M6 Bridge'!H28</f>
        <v>143.40220299091001</v>
      </c>
      <c r="H30" s="8" t="s">
        <v>226</v>
      </c>
      <c r="I30" s="8" t="s">
        <v>227</v>
      </c>
      <c r="J30" s="8" t="s">
        <v>225</v>
      </c>
      <c r="K30" s="8" t="s">
        <v>224</v>
      </c>
      <c r="L30" s="8" t="s">
        <v>227</v>
      </c>
    </row>
    <row r="31" spans="2:12" x14ac:dyDescent="0.25">
      <c r="B31" s="6" t="s">
        <v>308</v>
      </c>
      <c r="C31" s="23">
        <f>-'M6 Bridge'!D29</f>
        <v>14.844000000000049</v>
      </c>
      <c r="D31" s="23">
        <f>-'M6 Bridge'!E29</f>
        <v>22.933979999999931</v>
      </c>
      <c r="E31" s="23">
        <f>-'M6 Bridge'!F29</f>
        <v>23.6219994</v>
      </c>
      <c r="F31" s="23">
        <f>-'M6 Bridge'!G29</f>
        <v>24.330659382000071</v>
      </c>
      <c r="G31" s="23">
        <f>-'M6 Bridge'!H29</f>
        <v>25.06057916346003</v>
      </c>
      <c r="H31" s="8" t="s">
        <v>226</v>
      </c>
      <c r="I31" s="8" t="s">
        <v>227</v>
      </c>
      <c r="J31" s="8" t="s">
        <v>225</v>
      </c>
      <c r="K31" s="8" t="s">
        <v>224</v>
      </c>
      <c r="L31" s="8" t="s">
        <v>227</v>
      </c>
    </row>
    <row r="32" spans="2:12" x14ac:dyDescent="0.25">
      <c r="B32" s="6" t="s">
        <v>309</v>
      </c>
      <c r="C32" s="23">
        <f>-'M6 Bridge'!D30</f>
        <v>0</v>
      </c>
      <c r="D32" s="23">
        <f>-'M6 Bridge'!E30</f>
        <v>0</v>
      </c>
      <c r="E32" s="23">
        <f>-'M6 Bridge'!F30</f>
        <v>0</v>
      </c>
      <c r="F32" s="23">
        <f>-'M6 Bridge'!G30</f>
        <v>0</v>
      </c>
      <c r="G32" s="23">
        <f>-'M6 Bridge'!H30</f>
        <v>0</v>
      </c>
      <c r="H32" s="8" t="s">
        <v>226</v>
      </c>
      <c r="I32" s="8" t="s">
        <v>227</v>
      </c>
      <c r="J32" s="8" t="s">
        <v>225</v>
      </c>
      <c r="K32" s="8" t="s">
        <v>224</v>
      </c>
      <c r="L32" s="8" t="s">
        <v>227</v>
      </c>
    </row>
    <row r="33" spans="2:12" x14ac:dyDescent="0.25">
      <c r="B33" s="6" t="s">
        <v>310</v>
      </c>
      <c r="C33" s="23">
        <f>+'M7 Financement'!C10</f>
        <v>794.95478476190488</v>
      </c>
      <c r="D33" s="23">
        <f>+'M7 Financement'!D10</f>
        <v>1243.9531420571429</v>
      </c>
      <c r="E33" s="23">
        <f>+'M7 Financement'!E10</f>
        <v>1297.492175906857</v>
      </c>
      <c r="F33" s="23">
        <f>+'M7 Financement'!F10</f>
        <v>1353.1239939597031</v>
      </c>
      <c r="G33" s="23">
        <f>+'M7 Financement'!G10</f>
        <v>1410.925978137403</v>
      </c>
      <c r="H33" s="8" t="s">
        <v>226</v>
      </c>
      <c r="I33" s="8" t="s">
        <v>227</v>
      </c>
      <c r="J33" s="8" t="s">
        <v>311</v>
      </c>
      <c r="K33" s="8" t="s">
        <v>312</v>
      </c>
      <c r="L33" s="8" t="s">
        <v>227</v>
      </c>
    </row>
    <row r="34" spans="2:12" x14ac:dyDescent="0.25">
      <c r="B34" s="6" t="s">
        <v>313</v>
      </c>
      <c r="C34" s="23">
        <f>+'M7 Financement'!C11</f>
        <v>-174.89005264761909</v>
      </c>
      <c r="D34" s="23">
        <f>+'M7 Financement'!D11</f>
        <v>-273.66969125257151</v>
      </c>
      <c r="E34" s="23">
        <f>+'M7 Financement'!E11</f>
        <v>-285.44827869950859</v>
      </c>
      <c r="F34" s="23">
        <f>+'M7 Financement'!F11</f>
        <v>-297.68727867113472</v>
      </c>
      <c r="G34" s="23">
        <f>+'M7 Financement'!G11</f>
        <v>-310.40371519022881</v>
      </c>
      <c r="H34" s="8" t="s">
        <v>226</v>
      </c>
      <c r="I34" s="8" t="s">
        <v>227</v>
      </c>
      <c r="J34" s="8" t="s">
        <v>311</v>
      </c>
      <c r="K34" s="8" t="s">
        <v>312</v>
      </c>
      <c r="L34" s="8" t="s">
        <v>227</v>
      </c>
    </row>
    <row r="35" spans="2:12" x14ac:dyDescent="0.25">
      <c r="B35" s="6" t="s">
        <v>314</v>
      </c>
      <c r="C35" s="23">
        <f>+'M7 Financement'!C12</f>
        <v>-84.940666666666687</v>
      </c>
      <c r="D35" s="23">
        <f>+'M7 Financement'!D12</f>
        <v>-131.23333</v>
      </c>
      <c r="E35" s="23">
        <f>+'M7 Financement'!E12</f>
        <v>-135.17032990000001</v>
      </c>
      <c r="F35" s="23">
        <f>+'M7 Financement'!F12</f>
        <v>-139.22543979700001</v>
      </c>
      <c r="G35" s="23">
        <f>+'M7 Financement'!G12</f>
        <v>-143.40220299091001</v>
      </c>
      <c r="H35" s="8" t="s">
        <v>226</v>
      </c>
      <c r="I35" s="8" t="s">
        <v>227</v>
      </c>
      <c r="J35" s="8" t="s">
        <v>311</v>
      </c>
      <c r="K35" s="8" t="s">
        <v>312</v>
      </c>
      <c r="L35" s="8" t="s">
        <v>227</v>
      </c>
    </row>
    <row r="36" spans="2:12" x14ac:dyDescent="0.25">
      <c r="B36" s="6" t="s">
        <v>315</v>
      </c>
      <c r="C36" s="23">
        <f>+'M7 Financement'!C13</f>
        <v>-14.844000000000049</v>
      </c>
      <c r="D36" s="23">
        <f>+'M7 Financement'!D13</f>
        <v>-22.933979999999931</v>
      </c>
      <c r="E36" s="23">
        <f>+'M7 Financement'!E13</f>
        <v>-23.6219994</v>
      </c>
      <c r="F36" s="23">
        <f>+'M7 Financement'!F13</f>
        <v>-24.330659382000071</v>
      </c>
      <c r="G36" s="23">
        <f>+'M7 Financement'!G13</f>
        <v>-25.06057916346003</v>
      </c>
      <c r="H36" s="8" t="s">
        <v>226</v>
      </c>
      <c r="I36" s="8" t="s">
        <v>227</v>
      </c>
      <c r="J36" s="8" t="s">
        <v>311</v>
      </c>
      <c r="K36" s="8" t="s">
        <v>312</v>
      </c>
      <c r="L36" s="8" t="s">
        <v>227</v>
      </c>
    </row>
    <row r="37" spans="2:12" x14ac:dyDescent="0.25">
      <c r="B37" s="6" t="s">
        <v>316</v>
      </c>
      <c r="C37" s="23">
        <f>+'M7 Financement'!C14</f>
        <v>0</v>
      </c>
      <c r="D37" s="23">
        <f>+'M7 Financement'!D14</f>
        <v>0</v>
      </c>
      <c r="E37" s="23">
        <f>+'M7 Financement'!E14</f>
        <v>0</v>
      </c>
      <c r="F37" s="23">
        <f>+'M7 Financement'!F14</f>
        <v>0</v>
      </c>
      <c r="G37" s="23">
        <f>+'M7 Financement'!G14</f>
        <v>0</v>
      </c>
      <c r="H37" s="8" t="s">
        <v>226</v>
      </c>
      <c r="I37" s="8" t="s">
        <v>227</v>
      </c>
      <c r="J37" s="8" t="s">
        <v>311</v>
      </c>
      <c r="K37" s="8" t="s">
        <v>312</v>
      </c>
      <c r="L37" s="8" t="s">
        <v>227</v>
      </c>
    </row>
    <row r="38" spans="2:12" x14ac:dyDescent="0.25">
      <c r="B38" s="3" t="s">
        <v>317</v>
      </c>
      <c r="C38" s="21">
        <f>SUM(C23:C37)</f>
        <v>-6.7173808000000559</v>
      </c>
      <c r="D38" s="21">
        <f>SUM(D23:D37)</f>
        <v>13.268321664000045</v>
      </c>
      <c r="E38" s="21">
        <f>SUM(E23:E37)</f>
        <v>26.122971313920168</v>
      </c>
      <c r="F38" s="21">
        <f>SUM(F23:F37)</f>
        <v>24.098660453337665</v>
      </c>
      <c r="G38" s="21">
        <f>SUM(G23:G37)</f>
        <v>22.013620266937696</v>
      </c>
    </row>
    <row r="40" spans="2:12" x14ac:dyDescent="0.25">
      <c r="B40" s="25" t="s">
        <v>318</v>
      </c>
    </row>
    <row r="41" spans="2:12" x14ac:dyDescent="0.25">
      <c r="B41" s="6" t="s">
        <v>319</v>
      </c>
      <c r="C41" s="23">
        <f>-'M6 Bridge'!D12</f>
        <v>16.8</v>
      </c>
      <c r="D41" s="23">
        <f>-'M6 Bridge'!E12</f>
        <v>25.20000000000001</v>
      </c>
      <c r="E41" s="23">
        <f>-'M6 Bridge'!F12</f>
        <v>8.4</v>
      </c>
      <c r="F41" s="23">
        <f>-'M6 Bridge'!G12</f>
        <v>0</v>
      </c>
      <c r="G41" s="23">
        <f>-'M6 Bridge'!H12</f>
        <v>0</v>
      </c>
      <c r="H41" s="8" t="s">
        <v>237</v>
      </c>
      <c r="I41" s="8" t="s">
        <v>91</v>
      </c>
      <c r="J41" s="8" t="s">
        <v>225</v>
      </c>
      <c r="K41" s="8" t="s">
        <v>236</v>
      </c>
      <c r="L41" s="8" t="s">
        <v>227</v>
      </c>
    </row>
    <row r="42" spans="2:12" x14ac:dyDescent="0.25">
      <c r="B42" s="6" t="s">
        <v>320</v>
      </c>
      <c r="C42" s="23">
        <f>-'M6 Bridge'!D13</f>
        <v>10</v>
      </c>
      <c r="D42" s="23">
        <f>-'M6 Bridge'!E13</f>
        <v>12.5</v>
      </c>
      <c r="E42" s="23">
        <f>-'M6 Bridge'!F13</f>
        <v>0</v>
      </c>
      <c r="F42" s="23">
        <f>-'M6 Bridge'!G13</f>
        <v>0</v>
      </c>
      <c r="G42" s="23">
        <f>-'M6 Bridge'!H13</f>
        <v>0</v>
      </c>
      <c r="H42" s="8" t="s">
        <v>237</v>
      </c>
      <c r="I42" s="8" t="s">
        <v>86</v>
      </c>
      <c r="J42" s="8" t="s">
        <v>225</v>
      </c>
      <c r="K42" s="8" t="s">
        <v>236</v>
      </c>
      <c r="L42" s="8" t="s">
        <v>227</v>
      </c>
    </row>
    <row r="43" spans="2:12" x14ac:dyDescent="0.25">
      <c r="B43" s="6" t="s">
        <v>321</v>
      </c>
      <c r="C43" s="23">
        <f>-'M6 Bridge'!D14</f>
        <v>6.7999999999999989</v>
      </c>
      <c r="D43" s="23">
        <f>-'M6 Bridge'!E14</f>
        <v>3.4</v>
      </c>
      <c r="E43" s="23">
        <f>-'M6 Bridge'!F14</f>
        <v>0</v>
      </c>
      <c r="F43" s="23">
        <f>-'M6 Bridge'!G14</f>
        <v>0</v>
      </c>
      <c r="G43" s="23">
        <f>-'M6 Bridge'!H14</f>
        <v>0</v>
      </c>
      <c r="H43" s="8" t="s">
        <v>237</v>
      </c>
      <c r="I43" s="8" t="s">
        <v>86</v>
      </c>
      <c r="J43" s="8" t="s">
        <v>225</v>
      </c>
      <c r="K43" s="8" t="s">
        <v>236</v>
      </c>
      <c r="L43" s="8" t="s">
        <v>227</v>
      </c>
    </row>
    <row r="44" spans="2:12" x14ac:dyDescent="0.25">
      <c r="B44" s="6" t="s">
        <v>322</v>
      </c>
      <c r="C44" s="23">
        <f>-'M6 Bridge'!D15</f>
        <v>4</v>
      </c>
      <c r="D44" s="23">
        <f>-'M6 Bridge'!E15</f>
        <v>6</v>
      </c>
      <c r="E44" s="23">
        <f>-'M6 Bridge'!F15</f>
        <v>2</v>
      </c>
      <c r="F44" s="23">
        <f>-'M6 Bridge'!G15</f>
        <v>0</v>
      </c>
      <c r="G44" s="23">
        <f>-'M6 Bridge'!H15</f>
        <v>0</v>
      </c>
      <c r="H44" s="8" t="s">
        <v>237</v>
      </c>
      <c r="I44" s="8" t="s">
        <v>91</v>
      </c>
      <c r="J44" s="8" t="s">
        <v>225</v>
      </c>
      <c r="K44" s="8" t="s">
        <v>236</v>
      </c>
      <c r="L44" s="8" t="s">
        <v>227</v>
      </c>
    </row>
    <row r="45" spans="2:12" x14ac:dyDescent="0.25">
      <c r="B45" s="6" t="s">
        <v>323</v>
      </c>
      <c r="C45" s="23">
        <f>-'M6 Bridge'!D16</f>
        <v>2.4</v>
      </c>
      <c r="D45" s="23">
        <f>-'M6 Bridge'!E16</f>
        <v>1.2</v>
      </c>
      <c r="E45" s="23">
        <f>-'M6 Bridge'!F16</f>
        <v>0</v>
      </c>
      <c r="F45" s="23">
        <f>-'M6 Bridge'!G16</f>
        <v>0</v>
      </c>
      <c r="G45" s="23">
        <f>-'M6 Bridge'!H16</f>
        <v>0</v>
      </c>
      <c r="H45" s="8" t="s">
        <v>237</v>
      </c>
      <c r="I45" s="8" t="s">
        <v>86</v>
      </c>
      <c r="J45" s="8" t="s">
        <v>225</v>
      </c>
      <c r="K45" s="8" t="s">
        <v>236</v>
      </c>
      <c r="L45" s="8" t="s">
        <v>227</v>
      </c>
    </row>
    <row r="46" spans="2:12" x14ac:dyDescent="0.25">
      <c r="B46" s="6" t="s">
        <v>324</v>
      </c>
      <c r="C46" s="23">
        <f>-'M6 Bridge'!D17</f>
        <v>24</v>
      </c>
      <c r="D46" s="23">
        <f>-'M6 Bridge'!E17</f>
        <v>34</v>
      </c>
      <c r="E46" s="23">
        <f>-'M6 Bridge'!F17</f>
        <v>0</v>
      </c>
      <c r="F46" s="23">
        <f>-'M6 Bridge'!G17</f>
        <v>0</v>
      </c>
      <c r="G46" s="23">
        <f>-'M6 Bridge'!H17</f>
        <v>0</v>
      </c>
      <c r="H46" s="8" t="s">
        <v>237</v>
      </c>
      <c r="I46" s="8" t="s">
        <v>86</v>
      </c>
      <c r="J46" s="8" t="s">
        <v>225</v>
      </c>
      <c r="K46" s="8" t="s">
        <v>249</v>
      </c>
      <c r="L46" s="8" t="s">
        <v>227</v>
      </c>
    </row>
    <row r="47" spans="2:12" x14ac:dyDescent="0.25">
      <c r="B47" s="6" t="s">
        <v>325</v>
      </c>
      <c r="C47" s="23">
        <f>-'M6 Bridge'!D18</f>
        <v>12</v>
      </c>
      <c r="D47" s="23">
        <f>-'M6 Bridge'!E18</f>
        <v>6</v>
      </c>
      <c r="E47" s="23">
        <f>-'M6 Bridge'!F18</f>
        <v>0</v>
      </c>
      <c r="F47" s="23">
        <f>-'M6 Bridge'!G18</f>
        <v>0</v>
      </c>
      <c r="G47" s="23">
        <f>-'M6 Bridge'!H18</f>
        <v>0</v>
      </c>
      <c r="H47" s="8" t="s">
        <v>237</v>
      </c>
      <c r="I47" s="8" t="s">
        <v>86</v>
      </c>
      <c r="J47" s="8" t="s">
        <v>225</v>
      </c>
      <c r="K47" s="8" t="s">
        <v>249</v>
      </c>
      <c r="L47" s="8" t="s">
        <v>227</v>
      </c>
    </row>
    <row r="48" spans="2:12" x14ac:dyDescent="0.25">
      <c r="B48" s="6" t="s">
        <v>326</v>
      </c>
      <c r="C48" s="23">
        <f>-'M6 Bridge'!D19</f>
        <v>14</v>
      </c>
      <c r="D48" s="23">
        <f>-'M6 Bridge'!E19</f>
        <v>16</v>
      </c>
      <c r="E48" s="23">
        <f>-'M6 Bridge'!F19</f>
        <v>4</v>
      </c>
      <c r="F48" s="23">
        <f>-'M6 Bridge'!G19</f>
        <v>0</v>
      </c>
      <c r="G48" s="23">
        <f>-'M6 Bridge'!H19</f>
        <v>0</v>
      </c>
      <c r="H48" s="8" t="s">
        <v>237</v>
      </c>
      <c r="I48" s="8" t="s">
        <v>91</v>
      </c>
      <c r="J48" s="8" t="s">
        <v>225</v>
      </c>
      <c r="K48" s="8" t="s">
        <v>249</v>
      </c>
      <c r="L48" s="8" t="s">
        <v>227</v>
      </c>
    </row>
    <row r="49" spans="2:12" x14ac:dyDescent="0.25">
      <c r="B49" s="6" t="s">
        <v>327</v>
      </c>
      <c r="C49" s="23">
        <f>-'M6 Bridge'!D20</f>
        <v>9</v>
      </c>
      <c r="D49" s="23">
        <f>-'M6 Bridge'!E20</f>
        <v>7</v>
      </c>
      <c r="E49" s="23">
        <f>-'M6 Bridge'!F20</f>
        <v>0</v>
      </c>
      <c r="F49" s="23">
        <f>-'M6 Bridge'!G20</f>
        <v>0</v>
      </c>
      <c r="G49" s="23">
        <f>-'M6 Bridge'!H20</f>
        <v>0</v>
      </c>
      <c r="H49" s="8" t="s">
        <v>237</v>
      </c>
      <c r="I49" s="8" t="s">
        <v>86</v>
      </c>
      <c r="J49" s="8" t="s">
        <v>225</v>
      </c>
      <c r="K49" s="8" t="s">
        <v>249</v>
      </c>
      <c r="L49" s="8" t="s">
        <v>227</v>
      </c>
    </row>
    <row r="50" spans="2:12" x14ac:dyDescent="0.25">
      <c r="B50" s="6" t="s">
        <v>328</v>
      </c>
      <c r="C50" s="23">
        <f>-'M6 Bridge'!D21</f>
        <v>4</v>
      </c>
      <c r="D50" s="23">
        <f>-'M6 Bridge'!E21</f>
        <v>7</v>
      </c>
      <c r="E50" s="23">
        <f>-'M6 Bridge'!F21</f>
        <v>3</v>
      </c>
      <c r="F50" s="23">
        <f>-'M6 Bridge'!G21</f>
        <v>0</v>
      </c>
      <c r="G50" s="23">
        <f>-'M6 Bridge'!H21</f>
        <v>0</v>
      </c>
      <c r="H50" s="8" t="s">
        <v>237</v>
      </c>
      <c r="I50" s="8" t="s">
        <v>91</v>
      </c>
      <c r="J50" s="8" t="s">
        <v>225</v>
      </c>
      <c r="K50" s="8" t="s">
        <v>249</v>
      </c>
      <c r="L50" s="8" t="s">
        <v>227</v>
      </c>
    </row>
    <row r="51" spans="2:12" x14ac:dyDescent="0.25">
      <c r="B51" s="6" t="s">
        <v>329</v>
      </c>
      <c r="C51" s="23">
        <f>-'M6 Bridge'!D22</f>
        <v>8</v>
      </c>
      <c r="D51" s="23">
        <f>-'M6 Bridge'!E22</f>
        <v>4</v>
      </c>
      <c r="E51" s="23">
        <f>-'M6 Bridge'!F22</f>
        <v>0</v>
      </c>
      <c r="F51" s="23">
        <f>-'M6 Bridge'!G22</f>
        <v>0</v>
      </c>
      <c r="G51" s="23">
        <f>-'M6 Bridge'!H22</f>
        <v>0</v>
      </c>
      <c r="H51" s="8" t="s">
        <v>237</v>
      </c>
      <c r="I51" s="8" t="s">
        <v>86</v>
      </c>
      <c r="J51" s="8" t="s">
        <v>225</v>
      </c>
      <c r="K51" s="8" t="s">
        <v>249</v>
      </c>
      <c r="L51" s="8" t="s">
        <v>227</v>
      </c>
    </row>
    <row r="52" spans="2:12" x14ac:dyDescent="0.25">
      <c r="B52" s="6" t="s">
        <v>330</v>
      </c>
      <c r="C52" s="23">
        <f>-'M6 Bridge'!D23</f>
        <v>20</v>
      </c>
      <c r="D52" s="23">
        <f>-'M6 Bridge'!E23</f>
        <v>20</v>
      </c>
      <c r="E52" s="23">
        <f>-'M6 Bridge'!F23</f>
        <v>5</v>
      </c>
      <c r="F52" s="23">
        <f>-'M6 Bridge'!G23</f>
        <v>0</v>
      </c>
      <c r="G52" s="23">
        <f>-'M6 Bridge'!H23</f>
        <v>0</v>
      </c>
      <c r="H52" s="8" t="s">
        <v>237</v>
      </c>
      <c r="I52" s="8" t="s">
        <v>91</v>
      </c>
      <c r="J52" s="8" t="s">
        <v>225</v>
      </c>
      <c r="K52" s="8" t="s">
        <v>258</v>
      </c>
      <c r="L52" s="8" t="s">
        <v>227</v>
      </c>
    </row>
    <row r="53" spans="2:12" x14ac:dyDescent="0.25">
      <c r="B53" s="6" t="s">
        <v>331</v>
      </c>
      <c r="C53" s="23">
        <f>-'M6 Bridge'!D24</f>
        <v>55</v>
      </c>
      <c r="D53" s="23">
        <f>-'M6 Bridge'!E24</f>
        <v>10</v>
      </c>
      <c r="E53" s="23">
        <f>-'M6 Bridge'!F24</f>
        <v>0</v>
      </c>
      <c r="F53" s="23">
        <f>-'M6 Bridge'!G24</f>
        <v>0</v>
      </c>
      <c r="G53" s="23">
        <f>-'M6 Bridge'!H24</f>
        <v>0</v>
      </c>
      <c r="H53" s="8" t="s">
        <v>237</v>
      </c>
      <c r="I53" s="8" t="s">
        <v>86</v>
      </c>
      <c r="J53" s="8" t="s">
        <v>225</v>
      </c>
      <c r="K53" s="8" t="s">
        <v>258</v>
      </c>
      <c r="L53" s="8" t="s">
        <v>227</v>
      </c>
    </row>
    <row r="54" spans="2:12" x14ac:dyDescent="0.25">
      <c r="B54" s="6" t="s">
        <v>332</v>
      </c>
      <c r="C54" s="23">
        <f>-'M6 Bridge'!D25</f>
        <v>0</v>
      </c>
      <c r="D54" s="23">
        <f>-'M6 Bridge'!E25</f>
        <v>0</v>
      </c>
      <c r="E54" s="23">
        <f>-'M6 Bridge'!F25</f>
        <v>-15</v>
      </c>
      <c r="F54" s="23">
        <f>-'M6 Bridge'!G25</f>
        <v>-50</v>
      </c>
      <c r="G54" s="23">
        <f>-'M6 Bridge'!H25</f>
        <v>0</v>
      </c>
      <c r="H54" s="8" t="s">
        <v>237</v>
      </c>
      <c r="I54" s="8" t="s">
        <v>96</v>
      </c>
      <c r="J54" s="8" t="s">
        <v>225</v>
      </c>
      <c r="K54" s="8" t="s">
        <v>258</v>
      </c>
      <c r="L54" s="8" t="s">
        <v>263</v>
      </c>
    </row>
    <row r="55" spans="2:12" x14ac:dyDescent="0.25">
      <c r="B55" s="6" t="s">
        <v>333</v>
      </c>
      <c r="C55" s="23">
        <f>-'M6 Bridge'!D27</f>
        <v>-24.42</v>
      </c>
      <c r="D55" s="23">
        <f>-'M6 Bridge'!E27</f>
        <v>-26.905999999999999</v>
      </c>
      <c r="E55" s="23">
        <f>-'M6 Bridge'!F27</f>
        <v>-3.8279999999999998</v>
      </c>
      <c r="F55" s="23">
        <f>-'M6 Bridge'!G27</f>
        <v>0</v>
      </c>
      <c r="G55" s="23">
        <f>-'M6 Bridge'!H27</f>
        <v>0</v>
      </c>
      <c r="H55" s="8" t="s">
        <v>237</v>
      </c>
      <c r="I55" s="8" t="s">
        <v>91</v>
      </c>
      <c r="J55" s="8" t="s">
        <v>225</v>
      </c>
      <c r="K55" s="8" t="s">
        <v>224</v>
      </c>
      <c r="L55" s="8" t="s">
        <v>227</v>
      </c>
    </row>
    <row r="56" spans="2:12" x14ac:dyDescent="0.25">
      <c r="B56" s="3" t="s">
        <v>334</v>
      </c>
      <c r="C56" s="21">
        <f>SUM(C41:C55)</f>
        <v>161.57999999999998</v>
      </c>
      <c r="D56" s="21">
        <f>SUM(D41:D55)</f>
        <v>125.39400000000001</v>
      </c>
      <c r="E56" s="21">
        <f>SUM(E41:E55)</f>
        <v>3.5719999999999987</v>
      </c>
      <c r="F56" s="21">
        <f>SUM(F41:F55)</f>
        <v>-50</v>
      </c>
      <c r="G56" s="21">
        <f>SUM(G41:G55)</f>
        <v>0</v>
      </c>
    </row>
    <row r="59" spans="2:12" x14ac:dyDescent="0.25">
      <c r="B59" s="2" t="s">
        <v>335</v>
      </c>
    </row>
    <row r="60" spans="2:12" x14ac:dyDescent="0.25">
      <c r="B60" s="10" t="s">
        <v>336</v>
      </c>
      <c r="C60" s="10" t="s">
        <v>81</v>
      </c>
      <c r="D60" s="10" t="s">
        <v>86</v>
      </c>
      <c r="E60" s="10" t="s">
        <v>91</v>
      </c>
      <c r="F60" s="10" t="s">
        <v>96</v>
      </c>
      <c r="G60" s="10" t="s">
        <v>101</v>
      </c>
    </row>
    <row r="61" spans="2:12" x14ac:dyDescent="0.25">
      <c r="B61" s="6" t="s">
        <v>337</v>
      </c>
      <c r="C61" s="15">
        <f>'M6 Bridge'!D31-'M7 Financement'!C15</f>
        <v>-154.86261919999987</v>
      </c>
      <c r="D61" s="15">
        <f>'M6 Bridge'!E31-'M7 Financement'!D15</f>
        <v>-138.66232166400027</v>
      </c>
      <c r="E61" s="15">
        <f>'M6 Bridge'!F31-'M7 Financement'!E15</f>
        <v>-29.694971313920178</v>
      </c>
      <c r="F61" s="15">
        <f>'M6 Bridge'!G31-'M7 Financement'!F15</f>
        <v>25.901339546662257</v>
      </c>
      <c r="G61" s="15">
        <f>'M6 Bridge'!H31-'M7 Financement'!G15</f>
        <v>-22.013620266937551</v>
      </c>
    </row>
    <row r="62" spans="2:12" x14ac:dyDescent="0.25">
      <c r="B62" s="6" t="s">
        <v>338</v>
      </c>
      <c r="C62" s="15">
        <f>-'M7 Financement'!C61</f>
        <v>154.86261919999987</v>
      </c>
      <c r="D62" s="15">
        <f>-'M7 Financement'!D61</f>
        <v>138.66232166400027</v>
      </c>
      <c r="E62" s="15">
        <f>-'M7 Financement'!E61</f>
        <v>29.694971313920178</v>
      </c>
      <c r="F62" s="15">
        <f>-'M7 Financement'!F61</f>
        <v>-25.901339546662257</v>
      </c>
      <c r="G62" s="15">
        <f>-'M7 Financement'!G61</f>
        <v>22.013620266937551</v>
      </c>
    </row>
    <row r="63" spans="2:12" x14ac:dyDescent="0.25">
      <c r="B63" s="3" t="s">
        <v>339</v>
      </c>
      <c r="C63" s="26">
        <f>'M7 Financement'!C62</f>
        <v>154.86261919999987</v>
      </c>
      <c r="D63" s="26">
        <f>C63+'M7 Financement'!D62</f>
        <v>293.52494086400014</v>
      </c>
      <c r="E63" s="26">
        <f>D63+'M7 Financement'!E62</f>
        <v>323.21991217792032</v>
      </c>
      <c r="F63" s="26">
        <f>E63+'M7 Financement'!F62</f>
        <v>297.31857263125806</v>
      </c>
      <c r="G63" s="26">
        <f>F63+'M7 Financement'!G62</f>
        <v>319.33219289819561</v>
      </c>
    </row>
    <row r="64" spans="2:12" x14ac:dyDescent="0.25">
      <c r="B64" s="3" t="s">
        <v>340</v>
      </c>
      <c r="C64" s="21">
        <f>MAX(0,'M7 Financement'!C63)</f>
        <v>154.86261919999987</v>
      </c>
      <c r="D64" s="21">
        <f>MAX(0,'M7 Financement'!D63)</f>
        <v>293.52494086400014</v>
      </c>
      <c r="E64" s="21">
        <f>MAX(0,'M7 Financement'!E63)</f>
        <v>323.21991217792032</v>
      </c>
      <c r="F64" s="21">
        <f>MAX(0,'M7 Financement'!F63)</f>
        <v>297.31857263125806</v>
      </c>
      <c r="G64" s="21">
        <f>MAX(0,'M7 Financement'!G63)</f>
        <v>319.33219289819561</v>
      </c>
    </row>
    <row r="65" spans="2:7" x14ac:dyDescent="0.25">
      <c r="B65" s="8" t="s">
        <v>341</v>
      </c>
      <c r="C65" s="27">
        <f>'M7 Financement'!C38</f>
        <v>-6.7173808000000559</v>
      </c>
      <c r="D65" s="27">
        <f>'M7 Financement'!D38</f>
        <v>13.268321664000045</v>
      </c>
      <c r="E65" s="27">
        <f>'M7 Financement'!E38</f>
        <v>26.122971313920168</v>
      </c>
      <c r="F65" s="27">
        <f>'M7 Financement'!F38</f>
        <v>24.098660453337665</v>
      </c>
      <c r="G65" s="27">
        <f>'M7 Financement'!G38</f>
        <v>22.013620266937696</v>
      </c>
    </row>
    <row r="66" spans="2:7" x14ac:dyDescent="0.25">
      <c r="B66" s="8" t="s">
        <v>342</v>
      </c>
      <c r="C66" s="27">
        <f>'M7 Financement'!C56</f>
        <v>161.57999999999998</v>
      </c>
      <c r="D66" s="27">
        <f>'M7 Financement'!D56</f>
        <v>125.39400000000001</v>
      </c>
      <c r="E66" s="27">
        <f>'M7 Financement'!E56</f>
        <v>3.5719999999999987</v>
      </c>
      <c r="F66" s="27">
        <f>'M7 Financement'!F56</f>
        <v>-50</v>
      </c>
      <c r="G66" s="27">
        <f>'M7 Financement'!G56</f>
        <v>0</v>
      </c>
    </row>
    <row r="67" spans="2:7" x14ac:dyDescent="0.25">
      <c r="B67" s="8" t="s">
        <v>343</v>
      </c>
      <c r="C67" s="28">
        <f>'M7 Financement'!C62-'M7 Financement'!C38-'M7 Financement'!C56</f>
        <v>0</v>
      </c>
      <c r="D67" s="28">
        <f>'M7 Financement'!D62-'M7 Financement'!D38-'M7 Financement'!D56</f>
        <v>2.2737367544323206E-13</v>
      </c>
      <c r="E67" s="28">
        <f>'M7 Financement'!E62-'M7 Financement'!E38-'M7 Financement'!E56</f>
        <v>1.1102230246251565E-14</v>
      </c>
      <c r="F67" s="28">
        <f>'M7 Financement'!F62-'M7 Financement'!F38-'M7 Financement'!F56</f>
        <v>7.815970093361102E-14</v>
      </c>
      <c r="G67" s="28">
        <f>'M7 Financement'!G62-'M7 Financement'!G38-'M7 Financement'!G56</f>
        <v>-1.4566126083082054E-13</v>
      </c>
    </row>
    <row r="70" spans="2:7" x14ac:dyDescent="0.25">
      <c r="B70" s="2" t="s">
        <v>344</v>
      </c>
    </row>
    <row r="71" spans="2:7" x14ac:dyDescent="0.25">
      <c r="B71" s="3" t="s">
        <v>345</v>
      </c>
      <c r="C71" s="21">
        <f>MAX(C64:G64)</f>
        <v>323.21991217792032</v>
      </c>
    </row>
    <row r="72" spans="2:7" x14ac:dyDescent="0.25">
      <c r="B72" s="3" t="s">
        <v>346</v>
      </c>
      <c r="C72" s="29" t="str">
        <f>IF(C64='M7 Financement'!C71,"P1",IF(D64='M7 Financement'!C71,"P2",IF(E64='M7 Financement'!C71,"P3",IF(F64='M7 Financement'!C71,"P4","P5"))))</f>
        <v>P3</v>
      </c>
    </row>
    <row r="73" spans="2:7" x14ac:dyDescent="0.25">
      <c r="B73" s="6" t="s">
        <v>347</v>
      </c>
      <c r="C73" s="6" t="s">
        <v>101</v>
      </c>
    </row>
    <row r="74" spans="2:7" x14ac:dyDescent="0.25">
      <c r="B74" s="6" t="s">
        <v>348</v>
      </c>
      <c r="C74" s="15">
        <f>'M7 Financement'!G63-'M7 Financement'!F63</f>
        <v>22.013620266937551</v>
      </c>
    </row>
    <row r="75" spans="2:7" x14ac:dyDescent="0.25">
      <c r="B75" s="6" t="s">
        <v>349</v>
      </c>
      <c r="C75" s="15">
        <f>IF('M7 Financement'!G63&lt;0,-'M7 Financement'!G63,0)</f>
        <v>0</v>
      </c>
    </row>
    <row r="76" spans="2:7" x14ac:dyDescent="0.25">
      <c r="B76" s="3" t="s">
        <v>350</v>
      </c>
      <c r="C76" s="29" t="str">
        <f>IF('M7 Financement'!G38&gt;0,"croissant à l'horizon",IF('M7 Financement'!G64=0,"résorbé",IF('M7 Financement'!G38=0,"plateau","non résorbé à l'horizon")))</f>
        <v>croissant à l'horizon</v>
      </c>
    </row>
    <row r="77" spans="2:7" ht="56.25" x14ac:dyDescent="0.25">
      <c r="B77" s="3" t="s">
        <v>351</v>
      </c>
      <c r="C77" s="30" t="s">
        <v>352</v>
      </c>
      <c r="D77" s="13" t="s">
        <v>353</v>
      </c>
    </row>
    <row r="79" spans="2:7" ht="30" customHeight="1" x14ac:dyDescent="0.25">
      <c r="B79" s="20" t="s">
        <v>354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7"/>
  <sheetViews>
    <sheetView showGridLines="0" workbookViewId="0"/>
  </sheetViews>
  <sheetFormatPr defaultRowHeight="15" x14ac:dyDescent="0.25"/>
  <cols>
    <col min="1" max="1" width="3" customWidth="1"/>
    <col min="2" max="2" width="17" customWidth="1"/>
    <col min="3" max="3" width="74" customWidth="1"/>
    <col min="4" max="4" width="14" customWidth="1"/>
    <col min="5" max="5" width="12" customWidth="1"/>
  </cols>
  <sheetData>
    <row r="2" spans="2:5" ht="16.5" x14ac:dyDescent="0.25">
      <c r="B2" s="1" t="s">
        <v>355</v>
      </c>
    </row>
    <row r="3" spans="2:5" ht="108" x14ac:dyDescent="0.25">
      <c r="B3" s="20" t="s">
        <v>356</v>
      </c>
    </row>
    <row r="5" spans="2:5" x14ac:dyDescent="0.25">
      <c r="B5" s="5" t="s">
        <v>17</v>
      </c>
      <c r="C5" s="5" t="s">
        <v>357</v>
      </c>
      <c r="D5" s="5" t="s">
        <v>358</v>
      </c>
      <c r="E5" s="5" t="s">
        <v>359</v>
      </c>
    </row>
    <row r="6" spans="2:5" x14ac:dyDescent="0.25">
      <c r="B6" s="3" t="s">
        <v>38</v>
      </c>
      <c r="C6" s="4" t="s">
        <v>360</v>
      </c>
      <c r="D6" s="31">
        <f>Hypothèses!C9-Hypothèses!C6*Hypothèses!C8</f>
        <v>0</v>
      </c>
      <c r="E6" s="8" t="s">
        <v>361</v>
      </c>
    </row>
    <row r="7" spans="2:5" x14ac:dyDescent="0.25">
      <c r="B7" s="3" t="s">
        <v>43</v>
      </c>
      <c r="C7" s="4" t="s">
        <v>362</v>
      </c>
      <c r="D7" s="31">
        <f>Hypothèses!C11-Hypothèses!C10/Hypothèses!C9</f>
        <v>0</v>
      </c>
      <c r="E7" s="8" t="s">
        <v>361</v>
      </c>
    </row>
    <row r="8" spans="2:5" x14ac:dyDescent="0.25">
      <c r="B8" s="3" t="s">
        <v>47</v>
      </c>
      <c r="C8" s="4" t="s">
        <v>363</v>
      </c>
      <c r="D8" s="31">
        <f>Hypothèses!C15-1</f>
        <v>0</v>
      </c>
      <c r="E8" s="8" t="s">
        <v>361</v>
      </c>
    </row>
    <row r="9" spans="2:5" x14ac:dyDescent="0.25">
      <c r="B9" s="3" t="s">
        <v>364</v>
      </c>
      <c r="C9" s="4" t="s">
        <v>365</v>
      </c>
      <c r="D9" s="31">
        <f>'M6 Bridge'!C33-('M6 Bridge'!H6+'M6 Bridge'!H7+'M3 Stand-alone'!C15)</f>
        <v>0</v>
      </c>
      <c r="E9" s="8" t="s">
        <v>361</v>
      </c>
    </row>
    <row r="10" spans="2:5" x14ac:dyDescent="0.25">
      <c r="B10" s="3" t="s">
        <v>366</v>
      </c>
      <c r="C10" s="4" t="s">
        <v>367</v>
      </c>
      <c r="D10" s="31">
        <f>MAX(0,'M3 Stand-alone'!E11/'M3 Stand-alone'!C11-1)+MAX(0,-('M3 Stand-alone'!E11/'M3 Stand-alone'!C11))+MAX(0,'M3 Stand-alone'!F11/'M3 Stand-alone'!C11-1)+MAX(0,-('M3 Stand-alone'!F11/'M3 Stand-alone'!C11))+MAX(0,'M3 Stand-alone'!G11/'M3 Stand-alone'!C11-1)+MAX(0,-('M3 Stand-alone'!G11/'M3 Stand-alone'!C11))+MAX(0,'M3 Stand-alone'!H11/'M3 Stand-alone'!C11-1)+MAX(0,-('M3 Stand-alone'!H11/'M3 Stand-alone'!C11))+MAX(0,'M3 Stand-alone'!I11/'M3 Stand-alone'!C11-1)+MAX(0,-('M3 Stand-alone'!I11/'M3 Stand-alone'!C11))+MAX(0,'M3 Stand-alone'!E12/'M3 Stand-alone'!C12-1)+MAX(0,-('M3 Stand-alone'!E12/'M3 Stand-alone'!C12))+MAX(0,'M3 Stand-alone'!F12/'M3 Stand-alone'!C12-1)+MAX(0,-('M3 Stand-alone'!F12/'M3 Stand-alone'!C12))+MAX(0,'M3 Stand-alone'!G12/'M3 Stand-alone'!C12-1)+MAX(0,-('M3 Stand-alone'!G12/'M3 Stand-alone'!C12))+MAX(0,'M3 Stand-alone'!H12/'M3 Stand-alone'!C12-1)+MAX(0,-('M3 Stand-alone'!H12/'M3 Stand-alone'!C12))+MAX(0,'M3 Stand-alone'!I12/'M3 Stand-alone'!C12-1)+MAX(0,-('M3 Stand-alone'!I12/'M3 Stand-alone'!C12))+MAX(0,'M3 Stand-alone'!E13/'M3 Stand-alone'!C13-1)+MAX(0,-('M3 Stand-alone'!E13/'M3 Stand-alone'!C13))+MAX(0,'M3 Stand-alone'!F13/'M3 Stand-alone'!C13-1)+MAX(0,-('M3 Stand-alone'!F13/'M3 Stand-alone'!C13))+MAX(0,'M3 Stand-alone'!G13/'M3 Stand-alone'!C13-1)+MAX(0,-('M3 Stand-alone'!G13/'M3 Stand-alone'!C13))+MAX(0,'M3 Stand-alone'!H13/'M3 Stand-alone'!C13-1)+MAX(0,-('M3 Stand-alone'!H13/'M3 Stand-alone'!C13))+MAX(0,'M3 Stand-alone'!I13/'M3 Stand-alone'!C13-1)+MAX(0,-('M3 Stand-alone'!I13/'M3 Stand-alone'!C13))+MAX(0,'M3 Stand-alone'!E14/'M3 Stand-alone'!C14-1)+MAX(0,-('M3 Stand-alone'!E14/'M3 Stand-alone'!C14))+MAX(0,'M3 Stand-alone'!F14/'M3 Stand-alone'!C14-1)+MAX(0,-('M3 Stand-alone'!F14/'M3 Stand-alone'!C14))+MAX(0,'M3 Stand-alone'!G14/'M3 Stand-alone'!C14-1)+MAX(0,-('M3 Stand-alone'!G14/'M3 Stand-alone'!C14))+MAX(0,'M3 Stand-alone'!H14/'M3 Stand-alone'!C14-1)+MAX(0,-('M3 Stand-alone'!H14/'M3 Stand-alone'!C14))+MAX(0,'M3 Stand-alone'!I14/'M3 Stand-alone'!C14-1)+MAX(0,-('M3 Stand-alone'!I14/'M3 Stand-alone'!C14))</f>
        <v>0</v>
      </c>
      <c r="E10" s="8" t="s">
        <v>361</v>
      </c>
    </row>
    <row r="11" spans="2:5" x14ac:dyDescent="0.25">
      <c r="B11" s="3" t="s">
        <v>368</v>
      </c>
      <c r="C11" s="4" t="s">
        <v>369</v>
      </c>
      <c r="D11" s="31">
        <f>('M4 TSA'!J11-('M4 TSA'!J6+'M4 TSA'!J7+'M4 TSA'!J8+'M4 TSA'!J9+'M4 TSA'!J10))+('M4 TSA'!K11-('M4 TSA'!K6+'M4 TSA'!K7+'M4 TSA'!K8+'M4 TSA'!K9+'M4 TSA'!K10))+('M4 TSA'!L11-('M4 TSA'!L6+'M4 TSA'!L7+'M4 TSA'!L8+'M4 TSA'!L9+'M4 TSA'!L10))+('M4 TSA'!M11-('M4 TSA'!M6+'M4 TSA'!M7+'M4 TSA'!M8+'M4 TSA'!M9+'M4 TSA'!M10))+('M4 TSA'!N11-('M4 TSA'!N6+'M4 TSA'!N7+'M4 TSA'!N8+'M4 TSA'!N9+'M4 TSA'!N10))</f>
        <v>0</v>
      </c>
      <c r="E11" s="8" t="s">
        <v>361</v>
      </c>
    </row>
    <row r="12" spans="2:5" x14ac:dyDescent="0.25">
      <c r="B12" s="3" t="s">
        <v>370</v>
      </c>
      <c r="C12" s="4" t="s">
        <v>371</v>
      </c>
      <c r="D12" s="31">
        <f>SUM(Calendrier!J19:J23)</f>
        <v>0</v>
      </c>
      <c r="E12" s="8" t="s">
        <v>361</v>
      </c>
    </row>
    <row r="13" spans="2:5" x14ac:dyDescent="0.25">
      <c r="B13" s="3" t="s">
        <v>372</v>
      </c>
      <c r="C13" s="4" t="s">
        <v>373</v>
      </c>
      <c r="D13" s="31">
        <f>MAX(0,-'M4 TSA'!H6)+MAX(0,'M4 TSA'!H6-'M4 TSA'!E6)+MAX(0,-'M4 TSA'!H7)+MAX(0,'M4 TSA'!H7-'M4 TSA'!E7)+MAX(0,-'M4 TSA'!H8)+MAX(0,'M4 TSA'!H8-'M4 TSA'!E8)+MAX(0,-'M4 TSA'!H9)+MAX(0,'M4 TSA'!H9-'M4 TSA'!E9)+MAX(0,-'M4 TSA'!H10)+MAX(0,'M4 TSA'!H10-'M4 TSA'!E10)</f>
        <v>0</v>
      </c>
      <c r="E13" s="8" t="s">
        <v>361</v>
      </c>
    </row>
    <row r="14" spans="2:5" x14ac:dyDescent="0.25">
      <c r="B14" s="3" t="s">
        <v>374</v>
      </c>
      <c r="C14" s="4" t="s">
        <v>375</v>
      </c>
      <c r="D14" s="31">
        <f>('M5 One-offs'!D12-('M5 One-offs'!D6+'M5 One-offs'!D7+'M5 One-offs'!D8+'M5 One-offs'!D9+'M5 One-offs'!D10+'M5 One-offs'!D11))+('M5 One-offs'!E12-('M5 One-offs'!E6+'M5 One-offs'!E7+'M5 One-offs'!E8+'M5 One-offs'!E9+'M5 One-offs'!E10+'M5 One-offs'!E11))+('M5 One-offs'!F12-('M5 One-offs'!F6+'M5 One-offs'!F7+'M5 One-offs'!F8+'M5 One-offs'!F9+'M5 One-offs'!F10+'M5 One-offs'!F11))+('M5 One-offs'!G12-('M5 One-offs'!G6+'M5 One-offs'!G7+'M5 One-offs'!G8+'M5 One-offs'!G9+'M5 One-offs'!G10+'M5 One-offs'!G11))+('M5 One-offs'!H12-('M5 One-offs'!H6+'M5 One-offs'!H7+'M5 One-offs'!H8+'M5 One-offs'!H9+'M5 One-offs'!H10+'M5 One-offs'!H11))</f>
        <v>0</v>
      </c>
      <c r="E14" s="8" t="s">
        <v>361</v>
      </c>
    </row>
    <row r="15" spans="2:5" x14ac:dyDescent="0.25">
      <c r="B15" s="3" t="s">
        <v>376</v>
      </c>
      <c r="C15" s="4" t="s">
        <v>377</v>
      </c>
      <c r="D15" s="31">
        <f>('M6 Bridge'!D31-('M6 Bridge'!D6+'M6 Bridge'!D7+'M6 Bridge'!D8+'M6 Bridge'!D9+'M6 Bridge'!D10+'M6 Bridge'!D11+'M6 Bridge'!D12+'M6 Bridge'!D13+'M6 Bridge'!D14+'M6 Bridge'!D15+'M6 Bridge'!D16+'M6 Bridge'!D17+'M6 Bridge'!D18+'M6 Bridge'!D19+'M6 Bridge'!D20+'M6 Bridge'!D21+'M6 Bridge'!D22+'M6 Bridge'!D23+'M6 Bridge'!D24+'M6 Bridge'!D25+'M6 Bridge'!D26+'M6 Bridge'!D27+'M6 Bridge'!D28+'M6 Bridge'!D29+'M6 Bridge'!D30))+('M6 Bridge'!E31-('M6 Bridge'!E6+'M6 Bridge'!E7+'M6 Bridge'!E8+'M6 Bridge'!E9+'M6 Bridge'!E10+'M6 Bridge'!E11+'M6 Bridge'!E12+'M6 Bridge'!E13+'M6 Bridge'!E14+'M6 Bridge'!E15+'M6 Bridge'!E16+'M6 Bridge'!E17+'M6 Bridge'!E18+'M6 Bridge'!E19+'M6 Bridge'!E20+'M6 Bridge'!E21+'M6 Bridge'!E22+'M6 Bridge'!E23+'M6 Bridge'!E24+'M6 Bridge'!E25+'M6 Bridge'!E26+'M6 Bridge'!E27+'M6 Bridge'!E28+'M6 Bridge'!E29+'M6 Bridge'!E30))+('M6 Bridge'!F31-('M6 Bridge'!F6+'M6 Bridge'!F7+'M6 Bridge'!F8+'M6 Bridge'!F9+'M6 Bridge'!F10+'M6 Bridge'!F11+'M6 Bridge'!F12+'M6 Bridge'!F13+'M6 Bridge'!F14+'M6 Bridge'!F15+'M6 Bridge'!F16+'M6 Bridge'!F17+'M6 Bridge'!F18+'M6 Bridge'!F19+'M6 Bridge'!F20+'M6 Bridge'!F21+'M6 Bridge'!F22+'M6 Bridge'!F23+'M6 Bridge'!F24+'M6 Bridge'!F25+'M6 Bridge'!F26+'M6 Bridge'!F27+'M6 Bridge'!F28+'M6 Bridge'!F29+'M6 Bridge'!F30))+('M6 Bridge'!G31-('M6 Bridge'!G6+'M6 Bridge'!G7+'M6 Bridge'!G8+'M6 Bridge'!G9+'M6 Bridge'!G10+'M6 Bridge'!G11+'M6 Bridge'!G12+'M6 Bridge'!G13+'M6 Bridge'!G14+'M6 Bridge'!G15+'M6 Bridge'!G16+'M6 Bridge'!G17+'M6 Bridge'!G18+'M6 Bridge'!G19+'M6 Bridge'!G20+'M6 Bridge'!G21+'M6 Bridge'!G22+'M6 Bridge'!G23+'M6 Bridge'!G24+'M6 Bridge'!G25+'M6 Bridge'!G26+'M6 Bridge'!G27+'M6 Bridge'!G28+'M6 Bridge'!G29+'M6 Bridge'!G30))+('M6 Bridge'!H31-('M6 Bridge'!H6+'M6 Bridge'!H7+'M6 Bridge'!H8+'M6 Bridge'!H9+'M6 Bridge'!H10+'M6 Bridge'!H11+'M6 Bridge'!H12+'M6 Bridge'!H13+'M6 Bridge'!H14+'M6 Bridge'!H15+'M6 Bridge'!H16+'M6 Bridge'!H17+'M6 Bridge'!H18+'M6 Bridge'!H19+'M6 Bridge'!H20+'M6 Bridge'!H21+'M6 Bridge'!H22+'M6 Bridge'!H23+'M6 Bridge'!H24+'M6 Bridge'!H25+'M6 Bridge'!H26+'M6 Bridge'!H27+'M6 Bridge'!H28+'M6 Bridge'!H29+'M6 Bridge'!H30))</f>
        <v>0</v>
      </c>
      <c r="E15" s="8" t="s">
        <v>361</v>
      </c>
    </row>
    <row r="16" spans="2:5" x14ac:dyDescent="0.25">
      <c r="B16" s="3" t="s">
        <v>378</v>
      </c>
      <c r="C16" s="4" t="s">
        <v>379</v>
      </c>
      <c r="D16" s="31">
        <f>('M7 Financement'!C15-('M7 Financement'!C10+'M7 Financement'!C11+'M7 Financement'!C12+'M7 Financement'!C13+'M7 Financement'!C14))+('M7 Financement'!D15-('M7 Financement'!D10+'M7 Financement'!D11+'M7 Financement'!D12+'M7 Financement'!D13+'M7 Financement'!D14))+('M7 Financement'!E15-('M7 Financement'!E10+'M7 Financement'!E11+'M7 Financement'!E12+'M7 Financement'!E13+'M7 Financement'!E14))+('M7 Financement'!F15-('M7 Financement'!F10+'M7 Financement'!F11+'M7 Financement'!F12+'M7 Financement'!F13+'M7 Financement'!F14))+('M7 Financement'!G15-('M7 Financement'!G10+'M7 Financement'!G11+'M7 Financement'!G12+'M7 Financement'!G13+'M7 Financement'!G14))</f>
        <v>0</v>
      </c>
      <c r="E16" s="8" t="s">
        <v>361</v>
      </c>
    </row>
    <row r="17" spans="2:5" ht="25.5" x14ac:dyDescent="0.25">
      <c r="B17" s="3" t="s">
        <v>380</v>
      </c>
      <c r="C17" s="4" t="s">
        <v>381</v>
      </c>
      <c r="D17" s="31">
        <f>('M7 Financement'!C62+'M7 Financement'!C61)+('M7 Financement'!D62+'M7 Financement'!D61)+('M7 Financement'!E62+'M7 Financement'!E61)+('M7 Financement'!F62+'M7 Financement'!F61)+('M7 Financement'!G62+'M7 Financement'!G61)+('M7 Financement'!C63-0-'M7 Financement'!C62)+('M7 Financement'!C64-MAX(0,'M7 Financement'!C63))+('M7 Financement'!D63-'M7 Financement'!C63-'M7 Financement'!D62)+('M7 Financement'!D64-MAX(0,'M7 Financement'!D63))+('M7 Financement'!E63-'M7 Financement'!D63-'M7 Financement'!E62)+('M7 Financement'!E64-MAX(0,'M7 Financement'!E63))+('M7 Financement'!F63-'M7 Financement'!E63-'M7 Financement'!F62)+('M7 Financement'!F64-MAX(0,'M7 Financement'!F63))+('M7 Financement'!G63-'M7 Financement'!F63-'M7 Financement'!G62)+('M7 Financement'!G64-MAX(0,'M7 Financement'!G63))</f>
        <v>0</v>
      </c>
      <c r="E17" s="8" t="s">
        <v>382</v>
      </c>
    </row>
    <row r="18" spans="2:5" x14ac:dyDescent="0.25">
      <c r="B18" s="3" t="s">
        <v>383</v>
      </c>
      <c r="C18" s="4" t="s">
        <v>384</v>
      </c>
      <c r="D18" s="31">
        <f>MAX(0,-'M7 Financement'!C64)+MAX(0,-'M7 Financement'!D64)+MAX(0,-'M7 Financement'!E64)+MAX(0,-'M7 Financement'!F64)+MAX(0,-'M7 Financement'!G64)+('M7 Financement'!C71-MAX('M7 Financement'!C64:G64))</f>
        <v>0</v>
      </c>
      <c r="E18" s="8" t="s">
        <v>382</v>
      </c>
    </row>
    <row r="19" spans="2:5" ht="25.5" x14ac:dyDescent="0.25">
      <c r="B19" s="3" t="s">
        <v>385</v>
      </c>
      <c r="C19" s="4" t="s">
        <v>386</v>
      </c>
      <c r="D19" s="8" t="s">
        <v>387</v>
      </c>
      <c r="E19" s="8" t="s">
        <v>382</v>
      </c>
    </row>
    <row r="20" spans="2:5" ht="25.5" x14ac:dyDescent="0.25">
      <c r="B20" s="3" t="s">
        <v>388</v>
      </c>
      <c r="C20" s="4" t="s">
        <v>389</v>
      </c>
      <c r="D20" s="8" t="s">
        <v>387</v>
      </c>
      <c r="E20" s="8" t="s">
        <v>361</v>
      </c>
    </row>
    <row r="21" spans="2:5" ht="25.5" x14ac:dyDescent="0.25">
      <c r="B21" s="3" t="s">
        <v>390</v>
      </c>
      <c r="C21" s="4" t="s">
        <v>391</v>
      </c>
      <c r="D21" s="8" t="s">
        <v>387</v>
      </c>
      <c r="E21" s="8" t="s">
        <v>382</v>
      </c>
    </row>
    <row r="22" spans="2:5" ht="25.5" x14ac:dyDescent="0.25">
      <c r="B22" s="3" t="s">
        <v>392</v>
      </c>
      <c r="C22" s="4" t="s">
        <v>393</v>
      </c>
      <c r="D22" s="8" t="s">
        <v>387</v>
      </c>
      <c r="E22" s="8" t="s">
        <v>382</v>
      </c>
    </row>
    <row r="23" spans="2:5" x14ac:dyDescent="0.25">
      <c r="B23" s="3" t="s">
        <v>394</v>
      </c>
      <c r="C23" s="4" t="s">
        <v>395</v>
      </c>
      <c r="D23" s="31">
        <f>SUM('M7 Financement'!C67:G67)</f>
        <v>1.7097434579227411E-13</v>
      </c>
      <c r="E23" s="8" t="s">
        <v>382</v>
      </c>
    </row>
    <row r="24" spans="2:5" ht="25.5" x14ac:dyDescent="0.25">
      <c r="B24" s="3" t="s">
        <v>396</v>
      </c>
      <c r="C24" s="4" t="s">
        <v>397</v>
      </c>
      <c r="D24" s="8" t="s">
        <v>387</v>
      </c>
      <c r="E24" s="8" t="s">
        <v>382</v>
      </c>
    </row>
    <row r="25" spans="2:5" ht="25.5" x14ac:dyDescent="0.25">
      <c r="B25" s="3" t="s">
        <v>398</v>
      </c>
      <c r="C25" s="4" t="s">
        <v>399</v>
      </c>
      <c r="D25" s="8" t="s">
        <v>387</v>
      </c>
      <c r="E25" s="8" t="s">
        <v>382</v>
      </c>
    </row>
    <row r="26" spans="2:5" x14ac:dyDescent="0.25">
      <c r="B26" s="3" t="s">
        <v>400</v>
      </c>
      <c r="C26" s="4" t="s">
        <v>401</v>
      </c>
      <c r="D26" s="8" t="s">
        <v>387</v>
      </c>
      <c r="E26" s="8" t="s">
        <v>382</v>
      </c>
    </row>
    <row r="27" spans="2:5" x14ac:dyDescent="0.25">
      <c r="B27" s="3" t="s">
        <v>402</v>
      </c>
      <c r="C27" s="4" t="s">
        <v>403</v>
      </c>
      <c r="D27" s="31">
        <f>'M6 Bridge'!C34+('M4 TSA'!J11+'M5 One-offs'!D12+'M6 Bridge'!D23+'M4 TSA'!K11+'M5 One-offs'!E12+'M6 Bridge'!E23+'M4 TSA'!L11+'M5 One-offs'!F12+'M6 Bridge'!F23+'M4 TSA'!M11+'M5 One-offs'!G12+'M6 Bridge'!G23+'M4 TSA'!N11+'M5 One-offs'!H12+'M6 Bridge'!H23)</f>
        <v>0</v>
      </c>
      <c r="E27" s="8" t="s">
        <v>382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20"/>
  <sheetViews>
    <sheetView showGridLines="0" workbookViewId="0"/>
  </sheetViews>
  <sheetFormatPr defaultRowHeight="15" x14ac:dyDescent="0.25"/>
  <cols>
    <col min="1" max="1" width="3" customWidth="1"/>
    <col min="2" max="2" width="34" customWidth="1"/>
    <col min="3" max="3" width="12" customWidth="1"/>
    <col min="4" max="8" width="16" customWidth="1"/>
  </cols>
  <sheetData>
    <row r="2" spans="2:8" ht="16.5" x14ac:dyDescent="0.25">
      <c r="B2" s="1" t="s">
        <v>404</v>
      </c>
    </row>
    <row r="3" spans="2:8" ht="72" x14ac:dyDescent="0.25">
      <c r="B3" s="20" t="s">
        <v>405</v>
      </c>
    </row>
    <row r="5" spans="2:8" x14ac:dyDescent="0.25">
      <c r="B5" s="10" t="s">
        <v>406</v>
      </c>
      <c r="C5" s="10" t="s">
        <v>407</v>
      </c>
      <c r="D5" s="10" t="s">
        <v>408</v>
      </c>
      <c r="E5" s="10" t="s">
        <v>409</v>
      </c>
      <c r="F5" s="10" t="s">
        <v>410</v>
      </c>
      <c r="G5" s="10" t="s">
        <v>411</v>
      </c>
      <c r="H5" s="10" t="s">
        <v>412</v>
      </c>
    </row>
    <row r="6" spans="2:8" x14ac:dyDescent="0.25">
      <c r="B6" s="6" t="s">
        <v>413</v>
      </c>
      <c r="C6" s="6" t="s">
        <v>414</v>
      </c>
      <c r="D6" s="15">
        <v>78</v>
      </c>
      <c r="E6" s="15">
        <v>295.7</v>
      </c>
      <c r="F6" s="15">
        <v>253.46219086400001</v>
      </c>
      <c r="G6" s="6" t="s">
        <v>86</v>
      </c>
      <c r="H6" s="6" t="s">
        <v>96</v>
      </c>
    </row>
    <row r="7" spans="2:8" x14ac:dyDescent="0.25">
      <c r="B7" s="6"/>
      <c r="C7" s="3" t="s">
        <v>415</v>
      </c>
      <c r="D7" s="15">
        <v>120</v>
      </c>
      <c r="E7" s="15">
        <v>295.7</v>
      </c>
      <c r="F7" s="15">
        <v>323.21991217792021</v>
      </c>
      <c r="G7" s="6" t="s">
        <v>91</v>
      </c>
      <c r="H7" s="6" t="s">
        <v>96</v>
      </c>
    </row>
    <row r="8" spans="2:8" x14ac:dyDescent="0.25">
      <c r="B8" s="6"/>
      <c r="C8" s="6" t="s">
        <v>416</v>
      </c>
      <c r="D8" s="15">
        <v>156</v>
      </c>
      <c r="E8" s="15">
        <v>295.7</v>
      </c>
      <c r="F8" s="15">
        <v>437.91169289819538</v>
      </c>
      <c r="G8" s="6" t="s">
        <v>101</v>
      </c>
      <c r="H8" s="6" t="s">
        <v>96</v>
      </c>
    </row>
    <row r="10" spans="2:8" x14ac:dyDescent="0.25">
      <c r="B10" s="6" t="s">
        <v>417</v>
      </c>
      <c r="C10" s="6" t="s">
        <v>414</v>
      </c>
      <c r="D10" s="15">
        <v>120</v>
      </c>
      <c r="E10" s="15">
        <v>280.7</v>
      </c>
      <c r="F10" s="15">
        <v>311.51991217792011</v>
      </c>
      <c r="G10" s="6" t="s">
        <v>91</v>
      </c>
      <c r="H10" s="6" t="s">
        <v>96</v>
      </c>
    </row>
    <row r="11" spans="2:8" x14ac:dyDescent="0.25">
      <c r="B11" s="6"/>
      <c r="C11" s="3" t="s">
        <v>415</v>
      </c>
      <c r="D11" s="15">
        <v>120</v>
      </c>
      <c r="E11" s="15">
        <v>295.7</v>
      </c>
      <c r="F11" s="15">
        <v>323.21991217792021</v>
      </c>
      <c r="G11" s="6" t="s">
        <v>91</v>
      </c>
      <c r="H11" s="6" t="s">
        <v>96</v>
      </c>
    </row>
    <row r="12" spans="2:8" x14ac:dyDescent="0.25">
      <c r="B12" s="6"/>
      <c r="C12" s="6" t="s">
        <v>416</v>
      </c>
      <c r="D12" s="15">
        <v>120</v>
      </c>
      <c r="E12" s="15">
        <v>349.7</v>
      </c>
      <c r="F12" s="15">
        <v>381.31822177314132</v>
      </c>
      <c r="G12" s="6" t="s">
        <v>418</v>
      </c>
      <c r="H12" s="6" t="s">
        <v>101</v>
      </c>
    </row>
    <row r="14" spans="2:8" x14ac:dyDescent="0.25">
      <c r="B14" s="6" t="s">
        <v>419</v>
      </c>
      <c r="C14" s="6" t="s">
        <v>414</v>
      </c>
      <c r="D14" s="15">
        <v>120</v>
      </c>
      <c r="E14" s="15">
        <v>257.7</v>
      </c>
      <c r="F14" s="15">
        <v>293.57991217792011</v>
      </c>
      <c r="G14" s="6" t="s">
        <v>91</v>
      </c>
      <c r="H14" s="6" t="s">
        <v>96</v>
      </c>
    </row>
    <row r="15" spans="2:8" x14ac:dyDescent="0.25">
      <c r="B15" s="6"/>
      <c r="C15" s="3" t="s">
        <v>415</v>
      </c>
      <c r="D15" s="15">
        <v>120</v>
      </c>
      <c r="E15" s="15">
        <v>295.7</v>
      </c>
      <c r="F15" s="15">
        <v>323.21991217792021</v>
      </c>
      <c r="G15" s="6" t="s">
        <v>91</v>
      </c>
      <c r="H15" s="6" t="s">
        <v>96</v>
      </c>
    </row>
    <row r="16" spans="2:8" x14ac:dyDescent="0.25">
      <c r="B16" s="6"/>
      <c r="C16" s="6" t="s">
        <v>416</v>
      </c>
      <c r="D16" s="15">
        <v>120</v>
      </c>
      <c r="E16" s="15">
        <v>364.1</v>
      </c>
      <c r="F16" s="15">
        <v>376.57191217792013</v>
      </c>
      <c r="G16" s="6" t="s">
        <v>91</v>
      </c>
      <c r="H16" s="6" t="s">
        <v>96</v>
      </c>
    </row>
    <row r="18" spans="2:8" x14ac:dyDescent="0.25">
      <c r="B18" s="6" t="s">
        <v>420</v>
      </c>
      <c r="C18" s="6" t="s">
        <v>414</v>
      </c>
      <c r="D18" s="15">
        <v>120</v>
      </c>
      <c r="E18" s="15">
        <v>295.7</v>
      </c>
      <c r="F18" s="15">
        <v>338.45822874316241</v>
      </c>
      <c r="G18" s="6" t="s">
        <v>101</v>
      </c>
      <c r="H18" s="6" t="s">
        <v>96</v>
      </c>
    </row>
    <row r="19" spans="2:8" x14ac:dyDescent="0.25">
      <c r="B19" s="6"/>
      <c r="C19" s="3" t="s">
        <v>415</v>
      </c>
      <c r="D19" s="15">
        <v>120</v>
      </c>
      <c r="E19" s="15">
        <v>295.7</v>
      </c>
      <c r="F19" s="15">
        <v>323.21991217792021</v>
      </c>
      <c r="G19" s="6" t="s">
        <v>91</v>
      </c>
      <c r="H19" s="6" t="s">
        <v>96</v>
      </c>
    </row>
    <row r="20" spans="2:8" x14ac:dyDescent="0.25">
      <c r="B20" s="6"/>
      <c r="C20" s="6" t="s">
        <v>416</v>
      </c>
      <c r="D20" s="15">
        <v>120</v>
      </c>
      <c r="E20" s="15">
        <v>295.7</v>
      </c>
      <c r="F20" s="15">
        <v>315.82020272000011</v>
      </c>
      <c r="G20" s="6" t="s">
        <v>91</v>
      </c>
      <c r="H20" s="6" t="s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0"/>
  <sheetViews>
    <sheetView showGridLines="0" workbookViewId="0"/>
  </sheetViews>
  <sheetFormatPr defaultRowHeight="15" x14ac:dyDescent="0.25"/>
  <cols>
    <col min="1" max="1" width="3" customWidth="1"/>
    <col min="2" max="2" width="52" customWidth="1"/>
    <col min="3" max="3" width="16" customWidth="1"/>
    <col min="4" max="4" width="74" customWidth="1"/>
  </cols>
  <sheetData>
    <row r="2" spans="2:4" ht="16.5" x14ac:dyDescent="0.25">
      <c r="B2" s="1" t="s">
        <v>421</v>
      </c>
    </row>
    <row r="3" spans="2:4" ht="48" x14ac:dyDescent="0.25">
      <c r="B3" s="20" t="s">
        <v>422</v>
      </c>
    </row>
    <row r="5" spans="2:4" x14ac:dyDescent="0.25">
      <c r="B5" s="6" t="s">
        <v>423</v>
      </c>
      <c r="C5" s="32">
        <v>4</v>
      </c>
      <c r="D5" s="13" t="s">
        <v>424</v>
      </c>
    </row>
    <row r="6" spans="2:4" x14ac:dyDescent="0.25">
      <c r="B6" s="6" t="s">
        <v>425</v>
      </c>
      <c r="C6" s="23">
        <f>'M6 Bridge'!C33</f>
        <v>1382.7033880515855</v>
      </c>
    </row>
    <row r="7" spans="2:4" x14ac:dyDescent="0.25">
      <c r="B7" s="6" t="s">
        <v>426</v>
      </c>
      <c r="C7" s="15">
        <f>'M8 Acquéreur'!C5*'M8 Acquéreur'!C6</f>
        <v>5530.8135522063421</v>
      </c>
    </row>
    <row r="8" spans="2:4" x14ac:dyDescent="0.25">
      <c r="B8" s="3" t="s">
        <v>427</v>
      </c>
      <c r="C8" s="21">
        <f>Hypothèses!C10-'M8 Acquéreur'!C7</f>
        <v>10469.186447793658</v>
      </c>
    </row>
    <row r="10" spans="2:4" ht="22.5" x14ac:dyDescent="0.25">
      <c r="B10" s="3" t="s">
        <v>428</v>
      </c>
      <c r="C10" s="23">
        <f>'M7 Financement'!C71</f>
        <v>323.21991217792032</v>
      </c>
      <c r="D10" s="13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Lisez-moi</vt:lpstr>
      <vt:lpstr>Calendrier</vt:lpstr>
      <vt:lpstr>Hypothèses</vt:lpstr>
      <vt:lpstr>M3 Stand-alone</vt:lpstr>
      <vt:lpstr>M4 TSA</vt:lpstr>
      <vt:lpstr>M5 One-offs</vt:lpstr>
      <vt:lpstr>M6 Bridge</vt:lpstr>
      <vt:lpstr>M7 Financement</vt:lpstr>
      <vt:lpstr>Contrôles</vt:lpstr>
      <vt:lpstr>Scénarios</vt:lpstr>
      <vt:lpstr>M8 Acquéreur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Opella — modèle de carve-out et économie de séparation</dc:title>
  <dc:creator>Hamza Ben Chaouch</dc:creator>
  <cp:lastModifiedBy>Hamza Ben Chaouch</cp:lastModifiedBy>
  <dcterms:created xsi:type="dcterms:W3CDTF">2026-07-28T00:00:00Z</dcterms:created>
  <dcterms:modified xsi:type="dcterms:W3CDTF">2026-08-12T00:51:04Z</dcterms:modified>
</cp:coreProperties>
</file>