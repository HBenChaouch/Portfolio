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Abbah\Downloads\Portefolio\Portefolio\Sidetrade\Analyse_Beta_2026\outputs\beta_sidetrade_20260715\"/>
    </mc:Choice>
  </mc:AlternateContent>
  <xr:revisionPtr revIDLastSave="0" documentId="13_ncr:1_{14265637-EAD2-4AC1-9DFB-1454A0552AA1}" xr6:coauthVersionLast="47" xr6:coauthVersionMax="47" xr10:uidLastSave="{00000000-0000-0000-0000-000000000000}"/>
  <bookViews>
    <workbookView xWindow="38280" yWindow="-120" windowWidth="38640" windowHeight="21840" xr2:uid="{00000000-000D-0000-FFFF-FFFF00000000}"/>
  </bookViews>
  <sheets>
    <sheet name="Synthese" sheetId="1" r:id="rId1"/>
    <sheet name="Hypotheses" sheetId="2" r:id="rId2"/>
    <sheet name="Cours Hebdo" sheetId="3" r:id="rId3"/>
    <sheet name="Rendements" sheetId="4" r:id="rId4"/>
    <sheet name="Regressions" sheetId="5" r:id="rId5"/>
    <sheet name="Structure Capital" sheetId="6" r:id="rId6"/>
    <sheet name="Controles" sheetId="7" r:id="rId7"/>
    <sheet name="Sources" sheetId="8" r:id="rId8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6" i="7" l="1"/>
  <c r="F56" i="7"/>
  <c r="J56" i="7" s="1"/>
  <c r="I55" i="7"/>
  <c r="F55" i="7"/>
  <c r="J55" i="7" s="1"/>
  <c r="I54" i="7"/>
  <c r="F54" i="7"/>
  <c r="J54" i="7" s="1"/>
  <c r="I53" i="7"/>
  <c r="F53" i="7"/>
  <c r="I52" i="7"/>
  <c r="F52" i="7"/>
  <c r="J52" i="7" s="1"/>
  <c r="I51" i="7"/>
  <c r="F51" i="7"/>
  <c r="J51" i="7" s="1"/>
  <c r="I50" i="7"/>
  <c r="F50" i="7"/>
  <c r="I49" i="7"/>
  <c r="F49" i="7"/>
  <c r="I48" i="7"/>
  <c r="F48" i="7"/>
  <c r="J48" i="7" s="1"/>
  <c r="I47" i="7"/>
  <c r="F47" i="7"/>
  <c r="J47" i="7" s="1"/>
  <c r="I46" i="7"/>
  <c r="F46" i="7"/>
  <c r="J46" i="7" s="1"/>
  <c r="I45" i="7"/>
  <c r="F45" i="7"/>
  <c r="J45" i="7" s="1"/>
  <c r="I44" i="7"/>
  <c r="F44" i="7"/>
  <c r="J44" i="7" s="1"/>
  <c r="I43" i="7"/>
  <c r="F43" i="7"/>
  <c r="J43" i="7" s="1"/>
  <c r="I42" i="7"/>
  <c r="F42" i="7"/>
  <c r="J42" i="7" s="1"/>
  <c r="I41" i="7"/>
  <c r="F41" i="7"/>
  <c r="I40" i="7"/>
  <c r="F40" i="7"/>
  <c r="J40" i="7" s="1"/>
  <c r="I39" i="7"/>
  <c r="F39" i="7"/>
  <c r="J39" i="7" s="1"/>
  <c r="I38" i="7"/>
  <c r="F38" i="7"/>
  <c r="J38" i="7" s="1"/>
  <c r="I37" i="7"/>
  <c r="F37" i="7"/>
  <c r="I36" i="7"/>
  <c r="F36" i="7"/>
  <c r="I35" i="7"/>
  <c r="J35" i="7" s="1"/>
  <c r="F35" i="7"/>
  <c r="I34" i="7"/>
  <c r="F34" i="7"/>
  <c r="I33" i="7"/>
  <c r="F33" i="7"/>
  <c r="I32" i="7"/>
  <c r="F32" i="7"/>
  <c r="J32" i="7" s="1"/>
  <c r="I31" i="7"/>
  <c r="F31" i="7"/>
  <c r="J31" i="7" s="1"/>
  <c r="I30" i="7"/>
  <c r="F30" i="7"/>
  <c r="J30" i="7" s="1"/>
  <c r="I29" i="7"/>
  <c r="F29" i="7"/>
  <c r="I28" i="7"/>
  <c r="F28" i="7"/>
  <c r="J28" i="7" s="1"/>
  <c r="I27" i="7"/>
  <c r="F27" i="7"/>
  <c r="J27" i="7" s="1"/>
  <c r="I26" i="7"/>
  <c r="F26" i="7"/>
  <c r="J26" i="7" s="1"/>
  <c r="I25" i="7"/>
  <c r="F25" i="7"/>
  <c r="I24" i="7"/>
  <c r="F24" i="7"/>
  <c r="J24" i="7" s="1"/>
  <c r="I23" i="7"/>
  <c r="F23" i="7"/>
  <c r="J23" i="7" s="1"/>
  <c r="J22" i="7"/>
  <c r="I22" i="7"/>
  <c r="F22" i="7"/>
  <c r="I21" i="7"/>
  <c r="J21" i="7" s="1"/>
  <c r="F21" i="7"/>
  <c r="I20" i="7"/>
  <c r="F20" i="7"/>
  <c r="I19" i="7"/>
  <c r="F19" i="7"/>
  <c r="J19" i="7" s="1"/>
  <c r="I18" i="7"/>
  <c r="F18" i="7"/>
  <c r="J18" i="7" s="1"/>
  <c r="I17" i="7"/>
  <c r="F17" i="7"/>
  <c r="I16" i="7"/>
  <c r="F16" i="7"/>
  <c r="J16" i="7" s="1"/>
  <c r="I15" i="7"/>
  <c r="F15" i="7"/>
  <c r="I14" i="7"/>
  <c r="J14" i="7" s="1"/>
  <c r="F14" i="7"/>
  <c r="I13" i="7"/>
  <c r="F13" i="7"/>
  <c r="I12" i="7"/>
  <c r="F12" i="7"/>
  <c r="J12" i="7" s="1"/>
  <c r="I11" i="7"/>
  <c r="F11" i="7"/>
  <c r="J11" i="7" s="1"/>
  <c r="D8" i="7"/>
  <c r="D7" i="7"/>
  <c r="D6" i="7"/>
  <c r="D5" i="7"/>
  <c r="B16" i="6"/>
  <c r="G9" i="6"/>
  <c r="D14" i="1" s="1"/>
  <c r="E9" i="6"/>
  <c r="E8" i="6"/>
  <c r="G8" i="6" s="1"/>
  <c r="D13" i="1" s="1"/>
  <c r="E7" i="6"/>
  <c r="G7" i="6" s="1"/>
  <c r="D12" i="1" s="1"/>
  <c r="E6" i="6"/>
  <c r="G6" i="6" s="1"/>
  <c r="D11" i="1" s="1"/>
  <c r="J109" i="4"/>
  <c r="I109" i="4"/>
  <c r="H109" i="4"/>
  <c r="G109" i="4"/>
  <c r="F109" i="4"/>
  <c r="E109" i="4"/>
  <c r="D109" i="4"/>
  <c r="C109" i="4"/>
  <c r="B109" i="4"/>
  <c r="J108" i="4"/>
  <c r="I108" i="4"/>
  <c r="H108" i="4"/>
  <c r="G108" i="4"/>
  <c r="F108" i="4"/>
  <c r="E108" i="4"/>
  <c r="D108" i="4"/>
  <c r="C108" i="4"/>
  <c r="B108" i="4"/>
  <c r="J107" i="4"/>
  <c r="I107" i="4"/>
  <c r="H107" i="4"/>
  <c r="G107" i="4"/>
  <c r="F107" i="4"/>
  <c r="E107" i="4"/>
  <c r="D107" i="4"/>
  <c r="C107" i="4"/>
  <c r="B107" i="4"/>
  <c r="J106" i="4"/>
  <c r="I106" i="4"/>
  <c r="H106" i="4"/>
  <c r="G106" i="4"/>
  <c r="F106" i="4"/>
  <c r="E106" i="4"/>
  <c r="D106" i="4"/>
  <c r="C106" i="4"/>
  <c r="B106" i="4"/>
  <c r="J105" i="4"/>
  <c r="I105" i="4"/>
  <c r="H105" i="4"/>
  <c r="G105" i="4"/>
  <c r="F105" i="4"/>
  <c r="E105" i="4"/>
  <c r="D105" i="4"/>
  <c r="C105" i="4"/>
  <c r="B105" i="4"/>
  <c r="J104" i="4"/>
  <c r="I104" i="4"/>
  <c r="H104" i="4"/>
  <c r="G104" i="4"/>
  <c r="F104" i="4"/>
  <c r="E104" i="4"/>
  <c r="D104" i="4"/>
  <c r="C104" i="4"/>
  <c r="B104" i="4"/>
  <c r="J103" i="4"/>
  <c r="I103" i="4"/>
  <c r="H103" i="4"/>
  <c r="G103" i="4"/>
  <c r="F103" i="4"/>
  <c r="E103" i="4"/>
  <c r="D103" i="4"/>
  <c r="C103" i="4"/>
  <c r="B103" i="4"/>
  <c r="J102" i="4"/>
  <c r="I102" i="4"/>
  <c r="H102" i="4"/>
  <c r="G102" i="4"/>
  <c r="F102" i="4"/>
  <c r="E102" i="4"/>
  <c r="D102" i="4"/>
  <c r="C102" i="4"/>
  <c r="B102" i="4"/>
  <c r="J101" i="4"/>
  <c r="I101" i="4"/>
  <c r="H101" i="4"/>
  <c r="G101" i="4"/>
  <c r="F101" i="4"/>
  <c r="E101" i="4"/>
  <c r="D101" i="4"/>
  <c r="C101" i="4"/>
  <c r="B101" i="4"/>
  <c r="J100" i="4"/>
  <c r="I100" i="4"/>
  <c r="H100" i="4"/>
  <c r="G100" i="4"/>
  <c r="F100" i="4"/>
  <c r="E100" i="4"/>
  <c r="D100" i="4"/>
  <c r="C100" i="4"/>
  <c r="B100" i="4"/>
  <c r="J99" i="4"/>
  <c r="I99" i="4"/>
  <c r="H99" i="4"/>
  <c r="G99" i="4"/>
  <c r="F99" i="4"/>
  <c r="E99" i="4"/>
  <c r="D99" i="4"/>
  <c r="C99" i="4"/>
  <c r="B99" i="4"/>
  <c r="J98" i="4"/>
  <c r="I98" i="4"/>
  <c r="H98" i="4"/>
  <c r="G98" i="4"/>
  <c r="F98" i="4"/>
  <c r="E98" i="4"/>
  <c r="D98" i="4"/>
  <c r="C98" i="4"/>
  <c r="B98" i="4"/>
  <c r="J97" i="4"/>
  <c r="I97" i="4"/>
  <c r="H97" i="4"/>
  <c r="G97" i="4"/>
  <c r="F97" i="4"/>
  <c r="E97" i="4"/>
  <c r="D97" i="4"/>
  <c r="C97" i="4"/>
  <c r="B97" i="4"/>
  <c r="J96" i="4"/>
  <c r="I96" i="4"/>
  <c r="H96" i="4"/>
  <c r="G96" i="4"/>
  <c r="F96" i="4"/>
  <c r="E96" i="4"/>
  <c r="D96" i="4"/>
  <c r="C96" i="4"/>
  <c r="B96" i="4"/>
  <c r="J95" i="4"/>
  <c r="I95" i="4"/>
  <c r="H95" i="4"/>
  <c r="G95" i="4"/>
  <c r="F95" i="4"/>
  <c r="E95" i="4"/>
  <c r="D95" i="4"/>
  <c r="C95" i="4"/>
  <c r="B95" i="4"/>
  <c r="J94" i="4"/>
  <c r="I94" i="4"/>
  <c r="H94" i="4"/>
  <c r="G94" i="4"/>
  <c r="F94" i="4"/>
  <c r="E94" i="4"/>
  <c r="D94" i="4"/>
  <c r="C94" i="4"/>
  <c r="B94" i="4"/>
  <c r="J93" i="4"/>
  <c r="I93" i="4"/>
  <c r="H93" i="4"/>
  <c r="G93" i="4"/>
  <c r="F93" i="4"/>
  <c r="E93" i="4"/>
  <c r="D93" i="4"/>
  <c r="C93" i="4"/>
  <c r="B93" i="4"/>
  <c r="J92" i="4"/>
  <c r="I92" i="4"/>
  <c r="H92" i="4"/>
  <c r="G92" i="4"/>
  <c r="F92" i="4"/>
  <c r="E92" i="4"/>
  <c r="D92" i="4"/>
  <c r="C92" i="4"/>
  <c r="B92" i="4"/>
  <c r="J91" i="4"/>
  <c r="I91" i="4"/>
  <c r="H91" i="4"/>
  <c r="G91" i="4"/>
  <c r="F91" i="4"/>
  <c r="E91" i="4"/>
  <c r="D91" i="4"/>
  <c r="C91" i="4"/>
  <c r="B91" i="4"/>
  <c r="J90" i="4"/>
  <c r="I90" i="4"/>
  <c r="H90" i="4"/>
  <c r="G90" i="4"/>
  <c r="F90" i="4"/>
  <c r="E90" i="4"/>
  <c r="D90" i="4"/>
  <c r="C90" i="4"/>
  <c r="B90" i="4"/>
  <c r="J89" i="4"/>
  <c r="I89" i="4"/>
  <c r="H89" i="4"/>
  <c r="G89" i="4"/>
  <c r="F89" i="4"/>
  <c r="E89" i="4"/>
  <c r="D89" i="4"/>
  <c r="C89" i="4"/>
  <c r="B89" i="4"/>
  <c r="J88" i="4"/>
  <c r="I88" i="4"/>
  <c r="H88" i="4"/>
  <c r="G88" i="4"/>
  <c r="F88" i="4"/>
  <c r="E88" i="4"/>
  <c r="D88" i="4"/>
  <c r="C88" i="4"/>
  <c r="B88" i="4"/>
  <c r="J87" i="4"/>
  <c r="I87" i="4"/>
  <c r="H87" i="4"/>
  <c r="G87" i="4"/>
  <c r="F87" i="4"/>
  <c r="E87" i="4"/>
  <c r="D87" i="4"/>
  <c r="C87" i="4"/>
  <c r="B87" i="4"/>
  <c r="J86" i="4"/>
  <c r="I86" i="4"/>
  <c r="H86" i="4"/>
  <c r="G86" i="4"/>
  <c r="F86" i="4"/>
  <c r="E86" i="4"/>
  <c r="D86" i="4"/>
  <c r="C86" i="4"/>
  <c r="B86" i="4"/>
  <c r="J85" i="4"/>
  <c r="I85" i="4"/>
  <c r="H85" i="4"/>
  <c r="G85" i="4"/>
  <c r="F85" i="4"/>
  <c r="E85" i="4"/>
  <c r="D85" i="4"/>
  <c r="C85" i="4"/>
  <c r="B85" i="4"/>
  <c r="J84" i="4"/>
  <c r="I84" i="4"/>
  <c r="H84" i="4"/>
  <c r="G84" i="4"/>
  <c r="F84" i="4"/>
  <c r="E84" i="4"/>
  <c r="D84" i="4"/>
  <c r="C84" i="4"/>
  <c r="B84" i="4"/>
  <c r="J83" i="4"/>
  <c r="I83" i="4"/>
  <c r="H83" i="4"/>
  <c r="G83" i="4"/>
  <c r="F83" i="4"/>
  <c r="E83" i="4"/>
  <c r="D83" i="4"/>
  <c r="C83" i="4"/>
  <c r="B83" i="4"/>
  <c r="J82" i="4"/>
  <c r="I82" i="4"/>
  <c r="H82" i="4"/>
  <c r="G82" i="4"/>
  <c r="F82" i="4"/>
  <c r="E82" i="4"/>
  <c r="D82" i="4"/>
  <c r="C82" i="4"/>
  <c r="B82" i="4"/>
  <c r="J81" i="4"/>
  <c r="I81" i="4"/>
  <c r="H81" i="4"/>
  <c r="G81" i="4"/>
  <c r="F81" i="4"/>
  <c r="E81" i="4"/>
  <c r="D81" i="4"/>
  <c r="C81" i="4"/>
  <c r="B81" i="4"/>
  <c r="J80" i="4"/>
  <c r="I80" i="4"/>
  <c r="H80" i="4"/>
  <c r="G80" i="4"/>
  <c r="F80" i="4"/>
  <c r="E80" i="4"/>
  <c r="D80" i="4"/>
  <c r="C80" i="4"/>
  <c r="B80" i="4"/>
  <c r="J79" i="4"/>
  <c r="I79" i="4"/>
  <c r="H79" i="4"/>
  <c r="G79" i="4"/>
  <c r="F79" i="4"/>
  <c r="E79" i="4"/>
  <c r="D79" i="4"/>
  <c r="C79" i="4"/>
  <c r="B79" i="4"/>
  <c r="J78" i="4"/>
  <c r="I78" i="4"/>
  <c r="H78" i="4"/>
  <c r="G78" i="4"/>
  <c r="F78" i="4"/>
  <c r="E78" i="4"/>
  <c r="D78" i="4"/>
  <c r="C78" i="4"/>
  <c r="B78" i="4"/>
  <c r="J77" i="4"/>
  <c r="I77" i="4"/>
  <c r="H77" i="4"/>
  <c r="G77" i="4"/>
  <c r="F77" i="4"/>
  <c r="E77" i="4"/>
  <c r="D77" i="4"/>
  <c r="C77" i="4"/>
  <c r="B77" i="4"/>
  <c r="J76" i="4"/>
  <c r="I76" i="4"/>
  <c r="H76" i="4"/>
  <c r="G76" i="4"/>
  <c r="F76" i="4"/>
  <c r="E76" i="4"/>
  <c r="D76" i="4"/>
  <c r="C76" i="4"/>
  <c r="B76" i="4"/>
  <c r="J75" i="4"/>
  <c r="I75" i="4"/>
  <c r="H75" i="4"/>
  <c r="G75" i="4"/>
  <c r="F75" i="4"/>
  <c r="E75" i="4"/>
  <c r="D75" i="4"/>
  <c r="C75" i="4"/>
  <c r="B75" i="4"/>
  <c r="J74" i="4"/>
  <c r="I74" i="4"/>
  <c r="H74" i="4"/>
  <c r="G74" i="4"/>
  <c r="F74" i="4"/>
  <c r="E74" i="4"/>
  <c r="D74" i="4"/>
  <c r="C74" i="4"/>
  <c r="B74" i="4"/>
  <c r="J73" i="4"/>
  <c r="I73" i="4"/>
  <c r="H73" i="4"/>
  <c r="G73" i="4"/>
  <c r="F73" i="4"/>
  <c r="E73" i="4"/>
  <c r="D73" i="4"/>
  <c r="C73" i="4"/>
  <c r="B73" i="4"/>
  <c r="J72" i="4"/>
  <c r="I72" i="4"/>
  <c r="H72" i="4"/>
  <c r="G72" i="4"/>
  <c r="F72" i="4"/>
  <c r="E72" i="4"/>
  <c r="D72" i="4"/>
  <c r="C72" i="4"/>
  <c r="B72" i="4"/>
  <c r="J71" i="4"/>
  <c r="I71" i="4"/>
  <c r="H71" i="4"/>
  <c r="G71" i="4"/>
  <c r="F71" i="4"/>
  <c r="E71" i="4"/>
  <c r="D71" i="4"/>
  <c r="C71" i="4"/>
  <c r="B71" i="4"/>
  <c r="J70" i="4"/>
  <c r="I70" i="4"/>
  <c r="H70" i="4"/>
  <c r="G70" i="4"/>
  <c r="F70" i="4"/>
  <c r="E70" i="4"/>
  <c r="D70" i="4"/>
  <c r="C70" i="4"/>
  <c r="B70" i="4"/>
  <c r="J69" i="4"/>
  <c r="I69" i="4"/>
  <c r="H69" i="4"/>
  <c r="G69" i="4"/>
  <c r="F69" i="4"/>
  <c r="E69" i="4"/>
  <c r="D69" i="4"/>
  <c r="C69" i="4"/>
  <c r="B69" i="4"/>
  <c r="J68" i="4"/>
  <c r="I68" i="4"/>
  <c r="H68" i="4"/>
  <c r="G68" i="4"/>
  <c r="F68" i="4"/>
  <c r="E68" i="4"/>
  <c r="D68" i="4"/>
  <c r="C68" i="4"/>
  <c r="B68" i="4"/>
  <c r="J67" i="4"/>
  <c r="I67" i="4"/>
  <c r="H67" i="4"/>
  <c r="G67" i="4"/>
  <c r="F67" i="4"/>
  <c r="E67" i="4"/>
  <c r="D67" i="4"/>
  <c r="C67" i="4"/>
  <c r="B67" i="4"/>
  <c r="J66" i="4"/>
  <c r="I66" i="4"/>
  <c r="H66" i="4"/>
  <c r="G66" i="4"/>
  <c r="F66" i="4"/>
  <c r="E66" i="4"/>
  <c r="D66" i="4"/>
  <c r="C66" i="4"/>
  <c r="B66" i="4"/>
  <c r="J65" i="4"/>
  <c r="I65" i="4"/>
  <c r="H65" i="4"/>
  <c r="G65" i="4"/>
  <c r="F65" i="4"/>
  <c r="E65" i="4"/>
  <c r="D65" i="4"/>
  <c r="C65" i="4"/>
  <c r="B65" i="4"/>
  <c r="J64" i="4"/>
  <c r="I64" i="4"/>
  <c r="H64" i="4"/>
  <c r="G64" i="4"/>
  <c r="F64" i="4"/>
  <c r="E64" i="4"/>
  <c r="D64" i="4"/>
  <c r="C64" i="4"/>
  <c r="B64" i="4"/>
  <c r="J63" i="4"/>
  <c r="I63" i="4"/>
  <c r="H63" i="4"/>
  <c r="G63" i="4"/>
  <c r="F63" i="4"/>
  <c r="E63" i="4"/>
  <c r="D63" i="4"/>
  <c r="C63" i="4"/>
  <c r="B63" i="4"/>
  <c r="J62" i="4"/>
  <c r="I62" i="4"/>
  <c r="H62" i="4"/>
  <c r="G62" i="4"/>
  <c r="F62" i="4"/>
  <c r="E62" i="4"/>
  <c r="D62" i="4"/>
  <c r="C62" i="4"/>
  <c r="B62" i="4"/>
  <c r="J61" i="4"/>
  <c r="I61" i="4"/>
  <c r="H61" i="4"/>
  <c r="G61" i="4"/>
  <c r="F61" i="4"/>
  <c r="E61" i="4"/>
  <c r="D61" i="4"/>
  <c r="C61" i="4"/>
  <c r="B61" i="4"/>
  <c r="J60" i="4"/>
  <c r="I60" i="4"/>
  <c r="H60" i="4"/>
  <c r="G60" i="4"/>
  <c r="F60" i="4"/>
  <c r="E60" i="4"/>
  <c r="D60" i="4"/>
  <c r="C60" i="4"/>
  <c r="B60" i="4"/>
  <c r="J59" i="4"/>
  <c r="I59" i="4"/>
  <c r="H59" i="4"/>
  <c r="G59" i="4"/>
  <c r="F59" i="4"/>
  <c r="E59" i="4"/>
  <c r="D59" i="4"/>
  <c r="C59" i="4"/>
  <c r="B59" i="4"/>
  <c r="J58" i="4"/>
  <c r="I58" i="4"/>
  <c r="H58" i="4"/>
  <c r="G58" i="4"/>
  <c r="F58" i="4"/>
  <c r="E58" i="4"/>
  <c r="D58" i="4"/>
  <c r="C58" i="4"/>
  <c r="B58" i="4"/>
  <c r="J57" i="4"/>
  <c r="I57" i="4"/>
  <c r="H57" i="4"/>
  <c r="G57" i="4"/>
  <c r="F57" i="4"/>
  <c r="E57" i="4"/>
  <c r="D57" i="4"/>
  <c r="C57" i="4"/>
  <c r="B57" i="4"/>
  <c r="J56" i="4"/>
  <c r="I56" i="4"/>
  <c r="H56" i="4"/>
  <c r="G56" i="4"/>
  <c r="F56" i="4"/>
  <c r="E56" i="4"/>
  <c r="D56" i="4"/>
  <c r="C56" i="4"/>
  <c r="B56" i="4"/>
  <c r="J55" i="4"/>
  <c r="I55" i="4"/>
  <c r="H55" i="4"/>
  <c r="G55" i="4"/>
  <c r="F55" i="4"/>
  <c r="E55" i="4"/>
  <c r="D55" i="4"/>
  <c r="C55" i="4"/>
  <c r="B55" i="4"/>
  <c r="J54" i="4"/>
  <c r="I54" i="4"/>
  <c r="H54" i="4"/>
  <c r="G54" i="4"/>
  <c r="F54" i="4"/>
  <c r="E54" i="4"/>
  <c r="D54" i="4"/>
  <c r="C54" i="4"/>
  <c r="B54" i="4"/>
  <c r="J53" i="4"/>
  <c r="I53" i="4"/>
  <c r="H53" i="4"/>
  <c r="G53" i="4"/>
  <c r="F53" i="4"/>
  <c r="E53" i="4"/>
  <c r="D53" i="4"/>
  <c r="C53" i="4"/>
  <c r="B53" i="4"/>
  <c r="J52" i="4"/>
  <c r="I52" i="4"/>
  <c r="H52" i="4"/>
  <c r="G52" i="4"/>
  <c r="F52" i="4"/>
  <c r="E52" i="4"/>
  <c r="D52" i="4"/>
  <c r="C52" i="4"/>
  <c r="B52" i="4"/>
  <c r="J51" i="4"/>
  <c r="I51" i="4"/>
  <c r="H51" i="4"/>
  <c r="G51" i="4"/>
  <c r="F51" i="4"/>
  <c r="E51" i="4"/>
  <c r="D51" i="4"/>
  <c r="C51" i="4"/>
  <c r="B51" i="4"/>
  <c r="J50" i="4"/>
  <c r="I50" i="4"/>
  <c r="H50" i="4"/>
  <c r="G50" i="4"/>
  <c r="F50" i="4"/>
  <c r="E50" i="4"/>
  <c r="D50" i="4"/>
  <c r="C50" i="4"/>
  <c r="B50" i="4"/>
  <c r="J49" i="4"/>
  <c r="I49" i="4"/>
  <c r="H49" i="4"/>
  <c r="G49" i="4"/>
  <c r="F49" i="4"/>
  <c r="E49" i="4"/>
  <c r="D49" i="4"/>
  <c r="C49" i="4"/>
  <c r="B49" i="4"/>
  <c r="J48" i="4"/>
  <c r="I48" i="4"/>
  <c r="H48" i="4"/>
  <c r="G48" i="4"/>
  <c r="F48" i="4"/>
  <c r="E48" i="4"/>
  <c r="D48" i="4"/>
  <c r="C48" i="4"/>
  <c r="B48" i="4"/>
  <c r="J47" i="4"/>
  <c r="I47" i="4"/>
  <c r="H47" i="4"/>
  <c r="G47" i="4"/>
  <c r="F47" i="4"/>
  <c r="E47" i="4"/>
  <c r="D47" i="4"/>
  <c r="C47" i="4"/>
  <c r="B47" i="4"/>
  <c r="J46" i="4"/>
  <c r="I46" i="4"/>
  <c r="H46" i="4"/>
  <c r="G46" i="4"/>
  <c r="F46" i="4"/>
  <c r="E46" i="4"/>
  <c r="D46" i="4"/>
  <c r="C46" i="4"/>
  <c r="B46" i="4"/>
  <c r="J45" i="4"/>
  <c r="I45" i="4"/>
  <c r="H45" i="4"/>
  <c r="G45" i="4"/>
  <c r="F45" i="4"/>
  <c r="E45" i="4"/>
  <c r="D45" i="4"/>
  <c r="C45" i="4"/>
  <c r="B45" i="4"/>
  <c r="J44" i="4"/>
  <c r="I44" i="4"/>
  <c r="H44" i="4"/>
  <c r="G44" i="4"/>
  <c r="F44" i="4"/>
  <c r="E44" i="4"/>
  <c r="D44" i="4"/>
  <c r="C44" i="4"/>
  <c r="B44" i="4"/>
  <c r="J43" i="4"/>
  <c r="I43" i="4"/>
  <c r="H43" i="4"/>
  <c r="G43" i="4"/>
  <c r="F43" i="4"/>
  <c r="E43" i="4"/>
  <c r="D43" i="4"/>
  <c r="C43" i="4"/>
  <c r="B43" i="4"/>
  <c r="J42" i="4"/>
  <c r="I42" i="4"/>
  <c r="H42" i="4"/>
  <c r="G42" i="4"/>
  <c r="F42" i="4"/>
  <c r="E42" i="4"/>
  <c r="D42" i="4"/>
  <c r="C42" i="4"/>
  <c r="B42" i="4"/>
  <c r="J41" i="4"/>
  <c r="I41" i="4"/>
  <c r="H41" i="4"/>
  <c r="G41" i="4"/>
  <c r="F41" i="4"/>
  <c r="E41" i="4"/>
  <c r="D41" i="4"/>
  <c r="C41" i="4"/>
  <c r="B41" i="4"/>
  <c r="J40" i="4"/>
  <c r="I40" i="4"/>
  <c r="H40" i="4"/>
  <c r="G40" i="4"/>
  <c r="F40" i="4"/>
  <c r="E40" i="4"/>
  <c r="D40" i="4"/>
  <c r="C40" i="4"/>
  <c r="B40" i="4"/>
  <c r="J39" i="4"/>
  <c r="I39" i="4"/>
  <c r="H39" i="4"/>
  <c r="G39" i="4"/>
  <c r="F39" i="4"/>
  <c r="E39" i="4"/>
  <c r="D39" i="4"/>
  <c r="C39" i="4"/>
  <c r="B39" i="4"/>
  <c r="J38" i="4"/>
  <c r="I38" i="4"/>
  <c r="H38" i="4"/>
  <c r="G38" i="4"/>
  <c r="F38" i="4"/>
  <c r="E38" i="4"/>
  <c r="D38" i="4"/>
  <c r="C38" i="4"/>
  <c r="B38" i="4"/>
  <c r="J37" i="4"/>
  <c r="I37" i="4"/>
  <c r="H37" i="4"/>
  <c r="G37" i="4"/>
  <c r="F37" i="4"/>
  <c r="E37" i="4"/>
  <c r="D37" i="4"/>
  <c r="C37" i="4"/>
  <c r="B37" i="4"/>
  <c r="J36" i="4"/>
  <c r="I36" i="4"/>
  <c r="H36" i="4"/>
  <c r="G36" i="4"/>
  <c r="F36" i="4"/>
  <c r="E36" i="4"/>
  <c r="D36" i="4"/>
  <c r="C36" i="4"/>
  <c r="B36" i="4"/>
  <c r="J35" i="4"/>
  <c r="I35" i="4"/>
  <c r="H35" i="4"/>
  <c r="G35" i="4"/>
  <c r="F35" i="4"/>
  <c r="E35" i="4"/>
  <c r="D35" i="4"/>
  <c r="C35" i="4"/>
  <c r="B35" i="4"/>
  <c r="J34" i="4"/>
  <c r="I34" i="4"/>
  <c r="H34" i="4"/>
  <c r="G34" i="4"/>
  <c r="F34" i="4"/>
  <c r="E34" i="4"/>
  <c r="D34" i="4"/>
  <c r="C34" i="4"/>
  <c r="B34" i="4"/>
  <c r="J33" i="4"/>
  <c r="I33" i="4"/>
  <c r="H33" i="4"/>
  <c r="G33" i="4"/>
  <c r="F33" i="4"/>
  <c r="E33" i="4"/>
  <c r="D33" i="4"/>
  <c r="C33" i="4"/>
  <c r="B33" i="4"/>
  <c r="J32" i="4"/>
  <c r="I32" i="4"/>
  <c r="H32" i="4"/>
  <c r="G32" i="4"/>
  <c r="F32" i="4"/>
  <c r="E32" i="4"/>
  <c r="D32" i="4"/>
  <c r="C32" i="4"/>
  <c r="B32" i="4"/>
  <c r="J31" i="4"/>
  <c r="I31" i="4"/>
  <c r="H31" i="4"/>
  <c r="G31" i="4"/>
  <c r="F31" i="4"/>
  <c r="E31" i="4"/>
  <c r="D31" i="4"/>
  <c r="C31" i="4"/>
  <c r="B31" i="4"/>
  <c r="J30" i="4"/>
  <c r="I30" i="4"/>
  <c r="H30" i="4"/>
  <c r="G30" i="4"/>
  <c r="F30" i="4"/>
  <c r="E30" i="4"/>
  <c r="D30" i="4"/>
  <c r="C30" i="4"/>
  <c r="B30" i="4"/>
  <c r="J29" i="4"/>
  <c r="I29" i="4"/>
  <c r="H29" i="4"/>
  <c r="G29" i="4"/>
  <c r="F29" i="4"/>
  <c r="E29" i="4"/>
  <c r="D29" i="4"/>
  <c r="C29" i="4"/>
  <c r="B29" i="4"/>
  <c r="J28" i="4"/>
  <c r="I28" i="4"/>
  <c r="H28" i="4"/>
  <c r="G28" i="4"/>
  <c r="F28" i="4"/>
  <c r="E28" i="4"/>
  <c r="D28" i="4"/>
  <c r="C28" i="4"/>
  <c r="B28" i="4"/>
  <c r="J27" i="4"/>
  <c r="I27" i="4"/>
  <c r="H27" i="4"/>
  <c r="G27" i="4"/>
  <c r="F27" i="4"/>
  <c r="E27" i="4"/>
  <c r="D27" i="4"/>
  <c r="C27" i="4"/>
  <c r="B27" i="4"/>
  <c r="J26" i="4"/>
  <c r="I26" i="4"/>
  <c r="H26" i="4"/>
  <c r="G26" i="4"/>
  <c r="F26" i="4"/>
  <c r="E26" i="4"/>
  <c r="D26" i="4"/>
  <c r="C26" i="4"/>
  <c r="B26" i="4"/>
  <c r="J25" i="4"/>
  <c r="I25" i="4"/>
  <c r="H25" i="4"/>
  <c r="G25" i="4"/>
  <c r="F25" i="4"/>
  <c r="E25" i="4"/>
  <c r="D25" i="4"/>
  <c r="C25" i="4"/>
  <c r="B25" i="4"/>
  <c r="J24" i="4"/>
  <c r="I24" i="4"/>
  <c r="H24" i="4"/>
  <c r="G24" i="4"/>
  <c r="F24" i="4"/>
  <c r="E24" i="4"/>
  <c r="D24" i="4"/>
  <c r="C24" i="4"/>
  <c r="B24" i="4"/>
  <c r="J23" i="4"/>
  <c r="I23" i="4"/>
  <c r="H23" i="4"/>
  <c r="G23" i="4"/>
  <c r="F23" i="4"/>
  <c r="E23" i="4"/>
  <c r="D23" i="4"/>
  <c r="C23" i="4"/>
  <c r="B23" i="4"/>
  <c r="J22" i="4"/>
  <c r="I22" i="4"/>
  <c r="H22" i="4"/>
  <c r="G22" i="4"/>
  <c r="F22" i="4"/>
  <c r="E22" i="4"/>
  <c r="D22" i="4"/>
  <c r="C22" i="4"/>
  <c r="B22" i="4"/>
  <c r="J21" i="4"/>
  <c r="I21" i="4"/>
  <c r="H21" i="4"/>
  <c r="G21" i="4"/>
  <c r="F21" i="4"/>
  <c r="E21" i="4"/>
  <c r="D21" i="4"/>
  <c r="C21" i="4"/>
  <c r="B21" i="4"/>
  <c r="J20" i="4"/>
  <c r="I20" i="4"/>
  <c r="H20" i="4"/>
  <c r="G20" i="4"/>
  <c r="F20" i="4"/>
  <c r="E20" i="4"/>
  <c r="D20" i="4"/>
  <c r="C20" i="4"/>
  <c r="B20" i="4"/>
  <c r="J19" i="4"/>
  <c r="I19" i="4"/>
  <c r="H19" i="4"/>
  <c r="G19" i="4"/>
  <c r="F19" i="4"/>
  <c r="E19" i="4"/>
  <c r="D19" i="4"/>
  <c r="C19" i="4"/>
  <c r="B19" i="4"/>
  <c r="J18" i="4"/>
  <c r="I18" i="4"/>
  <c r="H18" i="4"/>
  <c r="G18" i="4"/>
  <c r="F18" i="4"/>
  <c r="E18" i="4"/>
  <c r="D18" i="4"/>
  <c r="C18" i="4"/>
  <c r="B18" i="4"/>
  <c r="J17" i="4"/>
  <c r="I17" i="4"/>
  <c r="H17" i="4"/>
  <c r="G17" i="4"/>
  <c r="F17" i="4"/>
  <c r="E17" i="4"/>
  <c r="D17" i="4"/>
  <c r="C17" i="4"/>
  <c r="B17" i="4"/>
  <c r="J16" i="4"/>
  <c r="I16" i="4"/>
  <c r="H16" i="4"/>
  <c r="G16" i="4"/>
  <c r="F16" i="4"/>
  <c r="E16" i="4"/>
  <c r="D16" i="4"/>
  <c r="C16" i="4"/>
  <c r="B16" i="4"/>
  <c r="J15" i="4"/>
  <c r="I15" i="4"/>
  <c r="H15" i="4"/>
  <c r="G15" i="4"/>
  <c r="F15" i="4"/>
  <c r="E15" i="4"/>
  <c r="D15" i="4"/>
  <c r="C15" i="4"/>
  <c r="B15" i="4"/>
  <c r="J14" i="4"/>
  <c r="I14" i="4"/>
  <c r="H14" i="4"/>
  <c r="G14" i="4"/>
  <c r="F14" i="4"/>
  <c r="E14" i="4"/>
  <c r="D14" i="4"/>
  <c r="C14" i="4"/>
  <c r="B14" i="4"/>
  <c r="J13" i="4"/>
  <c r="I13" i="4"/>
  <c r="H13" i="4"/>
  <c r="G13" i="4"/>
  <c r="F13" i="4"/>
  <c r="E13" i="4"/>
  <c r="D13" i="4"/>
  <c r="C13" i="4"/>
  <c r="B13" i="4"/>
  <c r="J12" i="4"/>
  <c r="I12" i="4"/>
  <c r="H12" i="4"/>
  <c r="G12" i="4"/>
  <c r="F12" i="4"/>
  <c r="E12" i="4"/>
  <c r="D12" i="4"/>
  <c r="C12" i="4"/>
  <c r="B12" i="4"/>
  <c r="J11" i="4"/>
  <c r="I11" i="4"/>
  <c r="H11" i="4"/>
  <c r="G11" i="4"/>
  <c r="F11" i="4"/>
  <c r="E11" i="4"/>
  <c r="D11" i="4"/>
  <c r="C11" i="4"/>
  <c r="B11" i="4"/>
  <c r="J10" i="4"/>
  <c r="I10" i="4"/>
  <c r="H10" i="4"/>
  <c r="G10" i="4"/>
  <c r="F10" i="4"/>
  <c r="E10" i="4"/>
  <c r="D10" i="4"/>
  <c r="C10" i="4"/>
  <c r="B10" i="4"/>
  <c r="J9" i="4"/>
  <c r="I9" i="4"/>
  <c r="H9" i="4"/>
  <c r="G9" i="4"/>
  <c r="F9" i="4"/>
  <c r="E9" i="4"/>
  <c r="D9" i="4"/>
  <c r="C9" i="4"/>
  <c r="B9" i="4"/>
  <c r="J8" i="4"/>
  <c r="I8" i="4"/>
  <c r="H8" i="4"/>
  <c r="G8" i="4"/>
  <c r="F8" i="4"/>
  <c r="E8" i="4"/>
  <c r="D8" i="4"/>
  <c r="C8" i="4"/>
  <c r="B8" i="4"/>
  <c r="J7" i="4"/>
  <c r="E15" i="5" s="1"/>
  <c r="I7" i="4"/>
  <c r="H7" i="4"/>
  <c r="G7" i="4"/>
  <c r="F7" i="4"/>
  <c r="E7" i="4"/>
  <c r="D7" i="4"/>
  <c r="C7" i="4"/>
  <c r="B7" i="4"/>
  <c r="J6" i="4"/>
  <c r="H15" i="5" s="1"/>
  <c r="I6" i="4"/>
  <c r="H6" i="4"/>
  <c r="G6" i="4"/>
  <c r="F19" i="5" s="1"/>
  <c r="G19" i="5" s="1"/>
  <c r="F6" i="4"/>
  <c r="E6" i="4"/>
  <c r="D6" i="4"/>
  <c r="C6" i="4"/>
  <c r="H6" i="5" s="1"/>
  <c r="C17" i="1" s="1"/>
  <c r="B6" i="4"/>
  <c r="D17" i="1"/>
  <c r="A14" i="1"/>
  <c r="A13" i="1"/>
  <c r="A12" i="1"/>
  <c r="A11" i="1"/>
  <c r="D5" i="1"/>
  <c r="F16" i="5" l="1"/>
  <c r="G16" i="5" s="1"/>
  <c r="E17" i="5"/>
  <c r="I18" i="5"/>
  <c r="J33" i="7"/>
  <c r="F7" i="5"/>
  <c r="G7" i="5" s="1"/>
  <c r="I6" i="5"/>
  <c r="F17" i="5"/>
  <c r="G17" i="5" s="1"/>
  <c r="I8" i="5"/>
  <c r="J13" i="7"/>
  <c r="J20" i="7"/>
  <c r="J34" i="7"/>
  <c r="J53" i="7"/>
  <c r="E8" i="5"/>
  <c r="I7" i="6" s="1"/>
  <c r="I9" i="5"/>
  <c r="J41" i="7"/>
  <c r="J25" i="7"/>
  <c r="J37" i="7"/>
  <c r="H16" i="5"/>
  <c r="J49" i="7"/>
  <c r="H19" i="5"/>
  <c r="J17" i="7"/>
  <c r="D10" i="5"/>
  <c r="F6" i="5"/>
  <c r="G6" i="5" s="1"/>
  <c r="J15" i="7"/>
  <c r="J29" i="7"/>
  <c r="J36" i="7"/>
  <c r="J50" i="7"/>
  <c r="J5" i="1"/>
  <c r="K7" i="6"/>
  <c r="L7" i="6" s="1"/>
  <c r="J8" i="5"/>
  <c r="I19" i="5"/>
  <c r="D15" i="5"/>
  <c r="D9" i="5"/>
  <c r="D7" i="5"/>
  <c r="F9" i="5"/>
  <c r="G9" i="5" s="1"/>
  <c r="E7" i="5"/>
  <c r="I15" i="5"/>
  <c r="J15" i="5" s="1"/>
  <c r="D18" i="5"/>
  <c r="E16" i="5"/>
  <c r="H17" i="5"/>
  <c r="I17" i="5"/>
  <c r="J17" i="5" s="1"/>
  <c r="F18" i="5"/>
  <c r="G18" i="5" s="1"/>
  <c r="H18" i="5"/>
  <c r="D16" i="5"/>
  <c r="H7" i="5"/>
  <c r="I16" i="5"/>
  <c r="D19" i="5"/>
  <c r="F15" i="5"/>
  <c r="G15" i="5" s="1"/>
  <c r="E9" i="5"/>
  <c r="H9" i="5"/>
  <c r="D6" i="5"/>
  <c r="F8" i="5"/>
  <c r="G8" i="5" s="1"/>
  <c r="H10" i="5"/>
  <c r="E19" i="5"/>
  <c r="E18" i="5"/>
  <c r="I7" i="5"/>
  <c r="E10" i="5"/>
  <c r="D8" i="5"/>
  <c r="F10" i="5"/>
  <c r="G10" i="5" s="1"/>
  <c r="E6" i="5"/>
  <c r="I10" i="5"/>
  <c r="D17" i="5"/>
  <c r="H8" i="5"/>
  <c r="J7" i="5" l="1"/>
  <c r="I6" i="6"/>
  <c r="J19" i="5"/>
  <c r="K9" i="6"/>
  <c r="L9" i="6" s="1"/>
  <c r="J18" i="5"/>
  <c r="K8" i="6"/>
  <c r="L8" i="6" s="1"/>
  <c r="B12" i="1"/>
  <c r="J7" i="6"/>
  <c r="C12" i="1" s="1"/>
  <c r="B17" i="1"/>
  <c r="J6" i="5"/>
  <c r="J16" i="5"/>
  <c r="K6" i="6"/>
  <c r="L6" i="6" s="1"/>
  <c r="B14" i="6" s="1"/>
  <c r="B19" i="6" s="1"/>
  <c r="G5" i="1" s="1"/>
  <c r="J9" i="5"/>
  <c r="I8" i="6"/>
  <c r="J10" i="5"/>
  <c r="I9" i="6"/>
  <c r="B14" i="1" l="1"/>
  <c r="J9" i="6"/>
  <c r="C14" i="1" s="1"/>
  <c r="J6" i="6"/>
  <c r="B11" i="1"/>
  <c r="B13" i="1"/>
  <c r="J8" i="6"/>
  <c r="C13" i="1" s="1"/>
  <c r="B13" i="6" l="1"/>
  <c r="B18" i="6" s="1"/>
  <c r="C11" i="1"/>
  <c r="B21" i="6" l="1"/>
  <c r="B23" i="6" s="1"/>
  <c r="A5" i="1"/>
  <c r="A25" i="6" l="1"/>
  <c r="A27" i="1"/>
</calcChain>
</file>

<file path=xl/sharedStrings.xml><?xml version="1.0" encoding="utf-8"?>
<sst xmlns="http://schemas.openxmlformats.org/spreadsheetml/2006/main" count="443" uniqueCount="243">
  <si>
    <t>SIDETRADE — JUSTIFICATION STATISTIQUE DU BÊTA WACC</t>
  </si>
  <si>
    <t>Deux ans de rendements hebdomadaires | 104 observations | Données arrêtées à la semaine complète du 10 juillet 2026</t>
  </si>
  <si>
    <t>Bêta statistique central</t>
  </si>
  <si>
    <t>Bêta du modèle</t>
  </si>
  <si>
    <t>Sensibilité Nasdaq</t>
  </si>
  <si>
    <t>Contrôles officiels</t>
  </si>
  <si>
    <t>COMPARABLES — BÊTAS PRINCIPAUX</t>
  </si>
  <si>
    <t>Société</t>
  </si>
  <si>
    <t>Bêta levered</t>
  </si>
  <si>
    <t>Bêta unlevered</t>
  </si>
  <si>
    <t>D/E</t>
  </si>
  <si>
    <t>Contrôle Sidetrade</t>
  </si>
  <si>
    <t>Bêta propre</t>
  </si>
  <si>
    <t>R²</t>
  </si>
  <si>
    <t>p-value</t>
  </si>
  <si>
    <t>Sidetrade vs CAC 40</t>
  </si>
  <si>
    <t>Le bêta propre de Sidetrade n’est pas statistiquement significatif et explique moins de 1% de la variance hebdomadaire. Il est écarté du calcul central au profit de la médiane des quatre comparables désendettés, puis réendettée à la structure cible de Sidetrade.</t>
  </si>
  <si>
    <t>CONCLUSION POUR LE WACC</t>
  </si>
  <si>
    <t>Méthode : clôtures quotidiennes ajustées Yahoo → dernière séance de chaque semaine → rendements logarithmiques → OLS → désendettement Hamada sur dette brute / capitalisation → médiane des peers → réendettement avec D/(D+E)=20% et IS 25,83%. Contrôles croisés Euronext et Nasdaq : 46/46 réussis.</t>
  </si>
  <si>
    <t>SIDETRADE — HYPOTHÈSES DE L’ANALYSE BÊTA</t>
  </si>
  <si>
    <t>Fenêtre de deux ans, fréquence hebdomadaire, clôtures ajustées — version au 15 juillet 2026</t>
  </si>
  <si>
    <t>Paramètre</t>
  </si>
  <si>
    <t>Valeur</t>
  </si>
  <si>
    <t>Unité</t>
  </si>
  <si>
    <t>Source / logique</t>
  </si>
  <si>
    <t>Statut</t>
  </si>
  <si>
    <t>Notes</t>
  </si>
  <si>
    <t>Date d'analyse</t>
  </si>
  <si>
    <t>date</t>
  </si>
  <si>
    <t>Date de récupération</t>
  </si>
  <si>
    <t>Fixe</t>
  </si>
  <si>
    <t>Les régressions s'arrêtent à la dernière semaine complète</t>
  </si>
  <si>
    <t>Première clôture hebdomadaire</t>
  </si>
  <si>
    <t>Dernière séance disponible de la semaine</t>
  </si>
  <si>
    <t>Point de départ nécessaire pour calculer 104 rendements</t>
  </si>
  <si>
    <t>Dernière clôture hebdomadaire</t>
  </si>
  <si>
    <t>Dernière semaine complète</t>
  </si>
  <si>
    <t>La semaine au 15/07 est volontairement exclue car incomplète</t>
  </si>
  <si>
    <t>Nombre de rendements</t>
  </si>
  <si>
    <t>semaines</t>
  </si>
  <si>
    <t>105 prix hebdomadaires moins 1</t>
  </si>
  <si>
    <t>Contrôlé</t>
  </si>
  <si>
    <t>Environ deux ans</t>
  </si>
  <si>
    <t>Type de rendement</t>
  </si>
  <si>
    <t>Logarithmique</t>
  </si>
  <si>
    <t>ln(Pt/Pt-1)</t>
  </si>
  <si>
    <t>Convention de régression</t>
  </si>
  <si>
    <t>Les prix sont ajustés des distributions et splits par la source</t>
  </si>
  <si>
    <t>Source homogène</t>
  </si>
  <si>
    <t>Yahoo Finance</t>
  </si>
  <si>
    <t>Adjusted Close</t>
  </si>
  <si>
    <t>API chart compatible yfinance</t>
  </si>
  <si>
    <t>Extraction quotidienne puis resampling vendredi</t>
  </si>
  <si>
    <t>Indice principal — Sidetrade</t>
  </si>
  <si>
    <t>CAC 40</t>
  </si>
  <si>
    <t>^FCHI</t>
  </si>
  <si>
    <t>Indice large France</t>
  </si>
  <si>
    <t>Principal</t>
  </si>
  <si>
    <t>Le titre Sidetrade est coté à Paris</t>
  </si>
  <si>
    <t>Indice alternatif — Sidetrade</t>
  </si>
  <si>
    <t>STOXX Europe 600</t>
  </si>
  <si>
    <t>^STOXX</t>
  </si>
  <si>
    <t>Sensibilité Europe</t>
  </si>
  <si>
    <t>Sensibilité</t>
  </si>
  <si>
    <t>Contrôle de robustesse</t>
  </si>
  <si>
    <t>Indice principal — peers US</t>
  </si>
  <si>
    <t>S&amp;P 500</t>
  </si>
  <si>
    <t>^GSPC</t>
  </si>
  <si>
    <t>Marché actions US large</t>
  </si>
  <si>
    <t>Préféré au Nasdaq pour éviter un biais sectoriel</t>
  </si>
  <si>
    <t>Indice alternatif — peers US</t>
  </si>
  <si>
    <t>Nasdaq Composite</t>
  </si>
  <si>
    <t>^IXIC</t>
  </si>
  <si>
    <t>Sensibilité technologique</t>
  </si>
  <si>
    <t>Produit des bêtas plus faibles sur cette fenêtre</t>
  </si>
  <si>
    <t>Désendettement</t>
  </si>
  <si>
    <t>Hamada</t>
  </si>
  <si>
    <t>βU=βL/[1+(1−T)D/E]</t>
  </si>
  <si>
    <t>Dette brute / capitalisation boursière</t>
  </si>
  <si>
    <t>Formule</t>
  </si>
  <si>
    <t>Taux normalisé de 25% pour les peers</t>
  </si>
  <si>
    <t>Réendettement Sidetrade</t>
  </si>
  <si>
    <t>βL=βU×[1+(1−T)D/E]</t>
  </si>
  <si>
    <t>Structure cible du modèle</t>
  </si>
  <si>
    <t>D/(D+E)=20%, IS France=25,83%</t>
  </si>
  <si>
    <t>Point de vigilance : le bêta propre de Sidetrade est présenté comme contrôle, pas comme estimateur principal du WACC. Sa faible liquidité et son R² très bas rendent la médiane des comparables désendettés plus robuste.</t>
  </si>
  <si>
    <t>COURS HEBDOMADAIRES AJUSTÉS — 105 OBSERVATIONS</t>
  </si>
  <si>
    <t>Dernière clôture disponible de chaque semaine civile, du 12/07/2024 au 10/07/2026. Les dates de prix exactes sont conservées dans raw_data/weekly_adjusted_prices.csv.</t>
  </si>
  <si>
    <t>Semaine fin</t>
  </si>
  <si>
    <t>Sidetrade</t>
  </si>
  <si>
    <t>BlackLine</t>
  </si>
  <si>
    <t>BILL</t>
  </si>
  <si>
    <t>nCino</t>
  </si>
  <si>
    <t>Workiva</t>
  </si>
  <si>
    <t>Nasdaq</t>
  </si>
  <si>
    <t>STOXX 600</t>
  </si>
  <si>
    <t>RENDEMENTS LOGARITHMIQUES HEBDOMADAIRES — 104 OBSERVATIONS</t>
  </si>
  <si>
    <t>Chaque cellule de rendement est une formule LN(Pt/Pt−1) liée à l’onglet Cours Hebdo.</t>
  </si>
  <si>
    <t>Point initial</t>
  </si>
  <si>
    <t>RÉGRESSIONS OLS — BÊTAS LEVERED</t>
  </si>
  <si>
    <t>Régression : rendement action = alpha + bêta × rendement marché + erreur. Les intervalles utilisent la loi de Student à 95%.</t>
  </si>
  <si>
    <t>SPÉCIFICATION PRINCIPALE — marché large</t>
  </si>
  <si>
    <t>Action</t>
  </si>
  <si>
    <t>Indice</t>
  </si>
  <si>
    <t>N</t>
  </si>
  <si>
    <t>Bêta</t>
  </si>
  <si>
    <t>Alpha hebdo</t>
  </si>
  <si>
    <t>Alpha annualisé</t>
  </si>
  <si>
    <t>SE bêta</t>
  </si>
  <si>
    <t>t-stat</t>
  </si>
  <si>
    <t>IC 95% bas</t>
  </si>
  <si>
    <t>IC 95% haut</t>
  </si>
  <si>
    <t>Lecture</t>
  </si>
  <si>
    <t>ALBFR.PA</t>
  </si>
  <si>
    <t>Non significatif</t>
  </si>
  <si>
    <t>BL</t>
  </si>
  <si>
    <t>Significatif</t>
  </si>
  <si>
    <t>NCNO</t>
  </si>
  <si>
    <t>WK</t>
  </si>
  <si>
    <t>SENSIBILITÉ — indice technologique / européen</t>
  </si>
  <si>
    <t>Lecture Sidetrade : le bêta propre est très faible et non significatif ; son intervalle de confiance est large. Il n’est donc pas utilisé comme bêta WACC central.</t>
  </si>
  <si>
    <t>BÊTAS DÉSENDETTÉS / RÉENDETTÉS — STRUCTURE CIBLE SIDETRADE</t>
  </si>
  <si>
    <t>Cellules bleues = hypothèses sourcées / modifiables. Cellules vertes = liens vers les régressions. Calculs en noir.</t>
  </si>
  <si>
    <t>COMPARABLES COTÉS</t>
  </si>
  <si>
    <t>Ticker</t>
  </si>
  <si>
    <t>Cours 15/07/26</t>
  </si>
  <si>
    <t>Actions</t>
  </si>
  <si>
    <t>Capitalisation</t>
  </si>
  <si>
    <t>Dette brute</t>
  </si>
  <si>
    <t>IS norm.</t>
  </si>
  <si>
    <t>Bêta L principal</t>
  </si>
  <si>
    <t>Bêta U principal</t>
  </si>
  <si>
    <t>Bêta L sensi.</t>
  </si>
  <si>
    <t>Bêta U sensi.</t>
  </si>
  <si>
    <t>Source / note</t>
  </si>
  <si>
    <t>Convertible debt + finance leases | SEC 0001628280-26-032255</t>
  </si>
  <si>
    <t>Long-term debt carrying amount (includes convertible debt) | SEC 0001628280-26-032387</t>
  </si>
  <si>
    <t>Long-term debt + finance leases | SEC 0001902733-26-000066</t>
  </si>
  <si>
    <t>Convertible debt + finance leases; shares = Q1 basic weighted average | SEC 0001445305-26-000045</t>
  </si>
  <si>
    <t>MÉDIANE DES PEERS ET RÉENDETTEMENT SIDETRADE</t>
  </si>
  <si>
    <t>Médiane bêta U — indice principal</t>
  </si>
  <si>
    <t>Médiane bêta U — sensibilité Nasdaq</t>
  </si>
  <si>
    <t>Poids cible dette D/(D+E)</t>
  </si>
  <si>
    <t>Modèle WACC existant</t>
  </si>
  <si>
    <t>D/E cible</t>
  </si>
  <si>
    <t>IS cible France</t>
  </si>
  <si>
    <t>France</t>
  </si>
  <si>
    <t>Bêta relevered cible — principal</t>
  </si>
  <si>
    <t>Résultat central</t>
  </si>
  <si>
    <t>Bêta relevered cible — sensibilité</t>
  </si>
  <si>
    <t>Bêta actuellement retenu au modèle</t>
  </si>
  <si>
    <t>Inputs!C48 du modèle existant</t>
  </si>
  <si>
    <t>Prudence du modèle vs statistique</t>
  </si>
  <si>
    <t>Écart positif = conservateur</t>
  </si>
  <si>
    <t>ERP zone euro</t>
  </si>
  <si>
    <t>Hypothèse existante</t>
  </si>
  <si>
    <t>Impact CoE de la prudence bêta</t>
  </si>
  <si>
    <t>Points de coût des fonds propres</t>
  </si>
  <si>
    <t>CONTRÔLES DE FIABILITÉ ET DE COMPLÉTUDE</t>
  </si>
  <si>
    <t>SYNTHÈSE DES CONTRÔLES</t>
  </si>
  <si>
    <t>Contrôle</t>
  </si>
  <si>
    <t>Réalisé</t>
  </si>
  <si>
    <t>Attendu</t>
  </si>
  <si>
    <t>Prix hebdomadaires</t>
  </si>
  <si>
    <t>Rendements hebdomadaires</t>
  </si>
  <si>
    <t>Prix hebdomadaires manquants</t>
  </si>
  <si>
    <t>Comparaisons officielles</t>
  </si>
  <si>
    <t>Source officielle</t>
  </si>
  <si>
    <t>Date</t>
  </si>
  <si>
    <t>Clôture officielle</t>
  </si>
  <si>
    <t>Clôture Yahoo</t>
  </si>
  <si>
    <t>Écart clôture</t>
  </si>
  <si>
    <t>Volume officiel</t>
  </si>
  <si>
    <t>Volume Yahoo</t>
  </si>
  <si>
    <t>Écart volume</t>
  </si>
  <si>
    <t>Euronext</t>
  </si>
  <si>
    <t>SOURCES ET PISTE D’AUDIT</t>
  </si>
  <si>
    <t>ID</t>
  </si>
  <si>
    <t>Élément</t>
  </si>
  <si>
    <t>Source</t>
  </si>
  <si>
    <t>URL / référence</t>
  </si>
  <si>
    <t>Date / période</t>
  </si>
  <si>
    <t>S01</t>
  </si>
  <si>
    <t>Documentation extraction</t>
  </si>
  <si>
    <t>yfinance</t>
  </si>
  <si>
    <t>https://ranaroussi.github.io/yfinance/reference/api/yfinance.download.html</t>
  </si>
  <si>
    <t>Consulté 2026-07-15</t>
  </si>
  <si>
    <t>Adjusted prices; daily interval; start inclusive and end exclusive</t>
  </si>
  <si>
    <t>S02</t>
  </si>
  <si>
    <t>Limites d'utilisation</t>
  </si>
  <si>
    <t>https://ranaroussi.github.io/yfinance/</t>
  </si>
  <si>
    <t>Outil open source non affilié à Yahoo; usage recherche/personnel</t>
  </si>
  <si>
    <t>S03</t>
  </si>
  <si>
    <t>Sidetrade — prix officiel</t>
  </si>
  <si>
    <t>https://live.euronext.com/en/product/equities/FR0010202606-XPAR</t>
  </si>
  <si>
    <t>Spot-check 2026-07-02 à 2026-07-15</t>
  </si>
  <si>
    <t>10/10 clôtures et volumes concordent</t>
  </si>
  <si>
    <t>S04</t>
  </si>
  <si>
    <t>Marché historique Euronext</t>
  </si>
  <si>
    <t>Euronext Data</t>
  </si>
  <si>
    <t>https://www.euronext.com/en/data</t>
  </si>
  <si>
    <t>Source primaire de la cotation Sidetrade</t>
  </si>
  <si>
    <t>S05</t>
  </si>
  <si>
    <t>BlackLine — contrôle officiel</t>
  </si>
  <si>
    <t>https://www.nasdaq.com/market-activity/stocks/bl/historical</t>
  </si>
  <si>
    <t>Spot-check juillet 2026</t>
  </si>
  <si>
    <t>Clôtures concordantes; volumes Yahoo arrondis</t>
  </si>
  <si>
    <t>S06</t>
  </si>
  <si>
    <t>BILL — contrôle officiel</t>
  </si>
  <si>
    <t>https://www.nasdaq.com/market-activity/stocks/bill/historical</t>
  </si>
  <si>
    <t>S07</t>
  </si>
  <si>
    <t>nCino — contrôle officiel</t>
  </si>
  <si>
    <t>https://www.nasdaq.com/market-activity/stocks/ncno/historical</t>
  </si>
  <si>
    <t>S08</t>
  </si>
  <si>
    <t>Workiva — contrôle officiel</t>
  </si>
  <si>
    <t>https://www.nasdaq.com/market-activity/stocks/wk/historical</t>
  </si>
  <si>
    <t>S09</t>
  </si>
  <si>
    <t>BlackLine — structure de capital</t>
  </si>
  <si>
    <t>SEC company facts</t>
  </si>
  <si>
    <t>https://data.sec.gov/api/xbrl/companyfacts/CIK0001666134.json</t>
  </si>
  <si>
    <t>Q1 2026</t>
  </si>
  <si>
    <t>Accession 0001628280-26-032255</t>
  </si>
  <si>
    <t>S10</t>
  </si>
  <si>
    <t>BILL — structure de capital</t>
  </si>
  <si>
    <t>https://data.sec.gov/api/xbrl/companyfacts/CIK0001786352.json</t>
  </si>
  <si>
    <t>Q3 FY2026</t>
  </si>
  <si>
    <t>Accession 0001628280-26-032387</t>
  </si>
  <si>
    <t>S11</t>
  </si>
  <si>
    <t>nCino — structure de capital</t>
  </si>
  <si>
    <t>https://data.sec.gov/api/xbrl/companyfacts/CIK0001902733.json</t>
  </si>
  <si>
    <t>Q1 FY2027</t>
  </si>
  <si>
    <t>Accession 0001902733-26-000066</t>
  </si>
  <si>
    <t>S12</t>
  </si>
  <si>
    <t>Workiva — structure de capital</t>
  </si>
  <si>
    <t>https://data.sec.gov/api/xbrl/companyfacts/CIK0001445305.json</t>
  </si>
  <si>
    <t>Accession 0001445305-26-000045</t>
  </si>
  <si>
    <t>S13</t>
  </si>
  <si>
    <t>Modèle de référence</t>
  </si>
  <si>
    <t>Sidetrade valuation v2</t>
  </si>
  <si>
    <t>Sidetrade/Sidetrade_Valuation_2026_v2.xlsx</t>
  </si>
  <si>
    <t>Version au 15/07/2026</t>
  </si>
  <si>
    <t>Bêta existant 1,15; dette cible 20%; IS 25,83%</t>
  </si>
  <si>
    <t>Fichiers bruts conservés dans Analyse_Beta_2026/raw_data : JSON Yahoo, CSV quotidiens, exports de contrôle Euronext/Nasdaq, données SEC et manifestes horodatés.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</si>
</sst>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164" formatCode="yyyy\-mm\-dd"/>
    <numFmt numFmtId="165" formatCode="&quot;€&quot;0.00;[Red]\(&quot;€&quot;0.00\);\-"/>
    <numFmt numFmtId="166" formatCode="#,##0.0"/>
    <numFmt numFmtId="167" formatCode="&quot;$&quot;0.00;[Red]\(&quot;$&quot;0.00\);\-"/>
    <numFmt numFmtId="168" formatCode="0.00%;[Red]\(0.00%\);\-"/>
    <numFmt numFmtId="169" formatCode="#,##0;[Red]\(#,##0\);\-"/>
    <numFmt numFmtId="170" formatCode="0.00\x;[Red]\(0.00\x\);\-"/>
    <numFmt numFmtId="171" formatCode="0.000;[Red]\(0.000\);\-"/>
    <numFmt numFmtId="172" formatCode="0.000"/>
    <numFmt numFmtId="173" formatCode="&quot;$&quot;#,##0;[Red]\(&quot;$&quot;#,##0\);\-"/>
    <numFmt numFmtId="174" formatCode="0.0%;[Red]\(0.0%\);\-"/>
    <numFmt numFmtId="175" formatCode="0.0000"/>
    <numFmt numFmtId="176" formatCode="0&quot;/46&quot;"/>
  </numFmts>
  <fonts count="9">
    <font>
      <sz val="11"/>
      <name val="Carlito"/>
    </font>
    <font>
      <sz val="11"/>
      <color rgb="FF1F2937"/>
      <name val="Carlito"/>
    </font>
    <font>
      <b/>
      <sz val="11"/>
      <color rgb="FF000000"/>
      <name val="Carlito"/>
    </font>
    <font>
      <i/>
      <sz val="11"/>
      <color rgb="FF1F2937"/>
      <name val="Carlito"/>
    </font>
    <font>
      <sz val="11"/>
      <color rgb="FF0000FF"/>
      <name val="Carlito"/>
    </font>
    <font>
      <sz val="11"/>
      <color rgb="FF008000"/>
      <name val="Carlito"/>
    </font>
    <font>
      <b/>
      <sz val="11"/>
      <color rgb="FF1F2937"/>
      <name val="Carlito"/>
    </font>
    <font>
      <b/>
      <sz val="11"/>
      <color rgb="FF008000"/>
      <name val="Carlito"/>
    </font>
    <font>
      <b/>
      <sz val="11"/>
      <color rgb="FFFFFFFF"/>
      <name val="Arial"/>
    </font>
  </fonts>
  <fills count="8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F3F4F6"/>
      </patternFill>
    </fill>
    <fill>
      <patternFill patternType="solid">
        <fgColor rgb="FFE7E6E6"/>
      </patternFill>
    </fill>
    <fill>
      <patternFill patternType="solid">
        <fgColor rgb="FFFFF2CC"/>
      </patternFill>
    </fill>
    <fill>
      <patternFill patternType="solid">
        <fgColor rgb="FFD9EAF7"/>
      </patternFill>
    </fill>
    <fill>
      <patternFill patternType="solid">
        <fgColor rgb="FFE2F0D9"/>
      </patternFill>
    </fill>
  </fills>
  <borders count="31">
    <border>
      <left/>
      <right/>
      <top/>
      <bottom/>
      <diagonal/>
    </border>
    <border>
      <left style="thin">
        <color rgb="FFB7C3D0"/>
      </left>
      <right/>
      <top style="thin">
        <color rgb="FFB7C3D0"/>
      </top>
      <bottom style="thin">
        <color rgb="FFB7C3D0"/>
      </bottom>
      <diagonal/>
    </border>
    <border>
      <left/>
      <right/>
      <top style="thin">
        <color rgb="FFB7C3D0"/>
      </top>
      <bottom style="thin">
        <color rgb="FFB7C3D0"/>
      </bottom>
      <diagonal/>
    </border>
    <border>
      <left/>
      <right style="thin">
        <color rgb="FFB7C3D0"/>
      </right>
      <top style="thin">
        <color rgb="FFB7C3D0"/>
      </top>
      <bottom style="thin">
        <color rgb="FFB7C3D0"/>
      </bottom>
      <diagonal/>
    </border>
    <border>
      <left/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/>
      <top/>
      <bottom style="thin">
        <color rgb="FFD9E2F3"/>
      </bottom>
      <diagonal/>
    </border>
    <border>
      <left/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 style="thin">
        <color rgb="FFD9E2F3"/>
      </top>
      <bottom style="thin">
        <color rgb="FFD9E2F3"/>
      </bottom>
      <diagonal/>
    </border>
    <border>
      <left/>
      <right style="thin">
        <color rgb="FFD9E2F3"/>
      </right>
      <top style="thin">
        <color rgb="FFD9E2F3"/>
      </top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/>
      <diagonal/>
    </border>
    <border>
      <left style="thin">
        <color rgb="FFD9E2F3"/>
      </left>
      <right/>
      <top style="thin">
        <color rgb="FFD9E2F3"/>
      </top>
      <bottom/>
      <diagonal/>
    </border>
    <border>
      <left style="thin">
        <color rgb="FFB7C3D0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/>
      <right style="thin">
        <color rgb="FFB7C3D0"/>
      </right>
      <top style="thin">
        <color rgb="FFB7C3D0"/>
      </top>
      <bottom/>
      <diagonal/>
    </border>
    <border>
      <left style="thin">
        <color rgb="FFB7C3D0"/>
      </left>
      <right/>
      <top/>
      <bottom/>
      <diagonal/>
    </border>
    <border>
      <left/>
      <right style="thin">
        <color rgb="FFB7C3D0"/>
      </right>
      <top/>
      <bottom/>
      <diagonal/>
    </border>
    <border>
      <left style="thin">
        <color rgb="FFB7C3D0"/>
      </left>
      <right/>
      <top/>
      <bottom style="thin">
        <color rgb="FFB7C3D0"/>
      </bottom>
      <diagonal/>
    </border>
    <border>
      <left/>
      <right style="thin">
        <color rgb="FFB7C3D0"/>
      </right>
      <top/>
      <bottom style="thin">
        <color rgb="FFB7C3D0"/>
      </bottom>
      <diagonal/>
    </border>
    <border>
      <left/>
      <right/>
      <top style="thin">
        <color rgb="FFB7C3D0"/>
      </top>
      <bottom/>
      <diagonal/>
    </border>
    <border>
      <left/>
      <right/>
      <top/>
      <bottom style="thin">
        <color rgb="FFB7C3D0"/>
      </bottom>
      <diagonal/>
    </border>
    <border>
      <left/>
      <right/>
      <top style="medium">
        <color rgb="FF70AD47"/>
      </top>
      <bottom/>
      <diagonal/>
    </border>
    <border>
      <left/>
      <right style="medium">
        <color rgb="FF70AD47"/>
      </right>
      <top style="medium">
        <color rgb="FF70AD47"/>
      </top>
      <bottom/>
      <diagonal/>
    </border>
    <border>
      <left style="medium">
        <color rgb="FF70AD47"/>
      </left>
      <right/>
      <top/>
      <bottom/>
      <diagonal/>
    </border>
    <border>
      <left/>
      <right style="medium">
        <color rgb="FF70AD47"/>
      </right>
      <top/>
      <bottom/>
      <diagonal/>
    </border>
    <border>
      <left style="medium">
        <color rgb="FF70AD47"/>
      </left>
      <right/>
      <top/>
      <bottom style="medium">
        <color rgb="FF70AD47"/>
      </bottom>
      <diagonal/>
    </border>
    <border>
      <left/>
      <right/>
      <top/>
      <bottom style="medium">
        <color rgb="FF70AD47"/>
      </bottom>
      <diagonal/>
    </border>
    <border>
      <left/>
      <right style="medium">
        <color rgb="FF70AD47"/>
      </right>
      <top/>
      <bottom style="medium">
        <color rgb="FF70AD47"/>
      </bottom>
      <diagonal/>
    </border>
    <border>
      <left style="thin">
        <color rgb="FFB7C3D0"/>
      </left>
      <right style="thin">
        <color rgb="FFB7C3D0"/>
      </right>
      <top style="thin">
        <color rgb="FFB7C3D0"/>
      </top>
      <bottom/>
      <diagonal/>
    </border>
    <border>
      <left style="thin">
        <color rgb="FFB7C3D0"/>
      </left>
      <right style="thin">
        <color rgb="FFB7C3D0"/>
      </right>
      <top/>
      <bottom style="thin">
        <color rgb="FFB7C3D0"/>
      </bottom>
      <diagonal/>
    </border>
    <border>
      <left style="medium">
        <color rgb="FF70AD47"/>
      </left>
      <right style="medium">
        <color rgb="FF70AD47"/>
      </right>
      <top style="medium">
        <color rgb="FF70AD47"/>
      </top>
      <bottom style="medium">
        <color rgb="FF70AD47"/>
      </bottom>
      <diagonal/>
    </border>
  </borders>
  <cellStyleXfs count="1">
    <xf numFmtId="0" fontId="0" fillId="0" borderId="0"/>
  </cellStyleXfs>
  <cellXfs count="78">
    <xf numFmtId="0" fontId="0" fillId="0" borderId="0" xfId="0"/>
    <xf numFmtId="0" fontId="2" fillId="4" borderId="1" xfId="0" applyFont="1" applyFill="1" applyBorder="1" applyAlignment="1">
      <alignment vertical="center" wrapText="1"/>
    </xf>
    <xf numFmtId="0" fontId="2" fillId="4" borderId="2" xfId="0" applyFont="1" applyFill="1" applyBorder="1" applyAlignment="1">
      <alignment vertical="center" wrapText="1"/>
    </xf>
    <xf numFmtId="0" fontId="2" fillId="4" borderId="3" xfId="0" applyFont="1" applyFill="1" applyBorder="1" applyAlignment="1">
      <alignment vertical="center" wrapText="1"/>
    </xf>
    <xf numFmtId="164" fontId="0" fillId="0" borderId="0" xfId="0" applyNumberFormat="1"/>
    <xf numFmtId="0" fontId="0" fillId="0" borderId="4" xfId="0" applyBorder="1"/>
    <xf numFmtId="164" fontId="0" fillId="0" borderId="5" xfId="0" applyNumberFormat="1" applyBorder="1"/>
    <xf numFmtId="0" fontId="0" fillId="0" borderId="5" xfId="0" applyBorder="1"/>
    <xf numFmtId="0" fontId="0" fillId="0" borderId="7" xfId="0" applyBorder="1"/>
    <xf numFmtId="164" fontId="0" fillId="0" borderId="8" xfId="0" applyNumberFormat="1" applyBorder="1"/>
    <xf numFmtId="0" fontId="0" fillId="0" borderId="8" xfId="0" applyBorder="1"/>
    <xf numFmtId="0" fontId="0" fillId="0" borderId="10" xfId="0" applyBorder="1"/>
    <xf numFmtId="0" fontId="0" fillId="0" borderId="11" xfId="0" applyBorder="1"/>
    <xf numFmtId="0" fontId="0" fillId="0" borderId="5" xfId="0" applyBorder="1" applyAlignment="1">
      <alignment wrapText="1"/>
    </xf>
    <xf numFmtId="0" fontId="0" fillId="0" borderId="6" xfId="0" applyBorder="1" applyAlignment="1">
      <alignment wrapText="1"/>
    </xf>
    <xf numFmtId="0" fontId="0" fillId="0" borderId="8" xfId="0" applyBorder="1" applyAlignment="1">
      <alignment wrapText="1"/>
    </xf>
    <xf numFmtId="0" fontId="0" fillId="0" borderId="9" xfId="0" applyBorder="1" applyAlignment="1">
      <alignment wrapText="1"/>
    </xf>
    <xf numFmtId="0" fontId="0" fillId="0" borderId="11" xfId="0" applyBorder="1" applyAlignment="1">
      <alignment wrapText="1"/>
    </xf>
    <xf numFmtId="0" fontId="0" fillId="0" borderId="12" xfId="0" applyBorder="1" applyAlignment="1">
      <alignment wrapText="1"/>
    </xf>
    <xf numFmtId="165" fontId="0" fillId="0" borderId="0" xfId="0" applyNumberFormat="1"/>
    <xf numFmtId="166" fontId="0" fillId="0" borderId="0" xfId="0" applyNumberFormat="1"/>
    <xf numFmtId="167" fontId="0" fillId="0" borderId="0" xfId="0" applyNumberFormat="1"/>
    <xf numFmtId="0" fontId="3" fillId="0" borderId="0" xfId="0" applyFont="1"/>
    <xf numFmtId="168" fontId="0" fillId="0" borderId="0" xfId="0" applyNumberFormat="1"/>
    <xf numFmtId="169" fontId="0" fillId="0" borderId="0" xfId="0" applyNumberFormat="1"/>
    <xf numFmtId="169" fontId="2" fillId="4" borderId="2" xfId="0" applyNumberFormat="1" applyFont="1" applyFill="1" applyBorder="1" applyAlignment="1">
      <alignment vertical="center" wrapText="1"/>
    </xf>
    <xf numFmtId="170" fontId="0" fillId="0" borderId="0" xfId="0" applyNumberFormat="1"/>
    <xf numFmtId="170" fontId="2" fillId="4" borderId="2" xfId="0" applyNumberFormat="1" applyFont="1" applyFill="1" applyBorder="1" applyAlignment="1">
      <alignment vertical="center" wrapText="1"/>
    </xf>
    <xf numFmtId="171" fontId="0" fillId="0" borderId="0" xfId="0" applyNumberFormat="1"/>
    <xf numFmtId="171" fontId="2" fillId="4" borderId="2" xfId="0" applyNumberFormat="1" applyFont="1" applyFill="1" applyBorder="1" applyAlignment="1">
      <alignment vertical="center" wrapText="1"/>
    </xf>
    <xf numFmtId="168" fontId="2" fillId="4" borderId="2" xfId="0" applyNumberFormat="1" applyFont="1" applyFill="1" applyBorder="1" applyAlignment="1">
      <alignment vertical="center" wrapText="1"/>
    </xf>
    <xf numFmtId="172" fontId="0" fillId="0" borderId="0" xfId="0" applyNumberFormat="1"/>
    <xf numFmtId="172" fontId="2" fillId="4" borderId="2" xfId="0" applyNumberFormat="1" applyFont="1" applyFill="1" applyBorder="1" applyAlignment="1">
      <alignment vertical="center" wrapText="1"/>
    </xf>
    <xf numFmtId="0" fontId="4" fillId="6" borderId="3" xfId="0" applyFont="1" applyFill="1" applyBorder="1"/>
    <xf numFmtId="0" fontId="5" fillId="0" borderId="0" xfId="0" applyFont="1"/>
    <xf numFmtId="167" fontId="4" fillId="6" borderId="1" xfId="0" applyNumberFormat="1" applyFont="1" applyFill="1" applyBorder="1"/>
    <xf numFmtId="173" fontId="0" fillId="0" borderId="0" xfId="0" applyNumberFormat="1"/>
    <xf numFmtId="173" fontId="4" fillId="6" borderId="13" xfId="0" applyNumberFormat="1" applyFont="1" applyFill="1" applyBorder="1"/>
    <xf numFmtId="174" fontId="0" fillId="0" borderId="0" xfId="0" applyNumberFormat="1"/>
    <xf numFmtId="174" fontId="4" fillId="6" borderId="13" xfId="0" applyNumberFormat="1" applyFont="1" applyFill="1" applyBorder="1"/>
    <xf numFmtId="170" fontId="5" fillId="0" borderId="0" xfId="0" applyNumberFormat="1" applyFont="1"/>
    <xf numFmtId="0" fontId="0" fillId="0" borderId="0" xfId="0" applyAlignment="1">
      <alignment wrapText="1"/>
    </xf>
    <xf numFmtId="170" fontId="4" fillId="6" borderId="13" xfId="0" applyNumberFormat="1" applyFont="1" applyFill="1" applyBorder="1"/>
    <xf numFmtId="168" fontId="4" fillId="6" borderId="13" xfId="0" applyNumberFormat="1" applyFont="1" applyFill="1" applyBorder="1"/>
    <xf numFmtId="175" fontId="0" fillId="0" borderId="0" xfId="0" applyNumberFormat="1"/>
    <xf numFmtId="174" fontId="5" fillId="0" borderId="0" xfId="0" applyNumberFormat="1" applyFont="1"/>
    <xf numFmtId="168" fontId="5" fillId="0" borderId="0" xfId="0" applyNumberFormat="1" applyFont="1"/>
    <xf numFmtId="172" fontId="5" fillId="0" borderId="0" xfId="0" applyNumberFormat="1" applyFont="1"/>
    <xf numFmtId="0" fontId="6" fillId="6" borderId="28" xfId="0" applyFont="1" applyFill="1" applyBorder="1" applyAlignment="1">
      <alignment horizontal="center" vertical="center"/>
    </xf>
    <xf numFmtId="0" fontId="0" fillId="0" borderId="14" xfId="0" applyBorder="1"/>
    <xf numFmtId="0" fontId="0" fillId="3" borderId="0" xfId="0" applyFill="1" applyAlignment="1">
      <alignment wrapText="1"/>
    </xf>
    <xf numFmtId="0" fontId="0" fillId="0" borderId="0" xfId="0"/>
    <xf numFmtId="0" fontId="8" fillId="2" borderId="0" xfId="0" applyFont="1" applyFill="1" applyAlignment="1">
      <alignment vertical="center"/>
    </xf>
    <xf numFmtId="0" fontId="0" fillId="5" borderId="13" xfId="0" applyFill="1" applyBorder="1" applyAlignment="1">
      <alignment vertical="center" wrapText="1"/>
    </xf>
    <xf numFmtId="0" fontId="0" fillId="0" borderId="19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20" xfId="0" applyBorder="1"/>
    <xf numFmtId="0" fontId="0" fillId="0" borderId="18" xfId="0" applyBorder="1"/>
    <xf numFmtId="0" fontId="6" fillId="7" borderId="30" xfId="0" applyFont="1" applyFill="1" applyBorder="1" applyAlignment="1">
      <alignment vertical="center" wrapText="1"/>
    </xf>
    <xf numFmtId="0" fontId="0" fillId="0" borderId="21" xfId="0" applyBorder="1"/>
    <xf numFmtId="0" fontId="0" fillId="0" borderId="22" xfId="0" applyBorder="1"/>
    <xf numFmtId="0" fontId="0" fillId="0" borderId="23" xfId="0" applyBorder="1"/>
    <xf numFmtId="0" fontId="0" fillId="0" borderId="24" xfId="0" applyBorder="1"/>
    <xf numFmtId="0" fontId="0" fillId="0" borderId="25" xfId="0" applyBorder="1"/>
    <xf numFmtId="0" fontId="0" fillId="0" borderId="26" xfId="0" applyBorder="1"/>
    <xf numFmtId="0" fontId="0" fillId="0" borderId="27" xfId="0" applyBorder="1"/>
    <xf numFmtId="170" fontId="7" fillId="6" borderId="29" xfId="0" applyNumberFormat="1" applyFont="1" applyFill="1" applyBorder="1" applyAlignment="1">
      <alignment horizontal="center" vertical="center"/>
    </xf>
    <xf numFmtId="0" fontId="0" fillId="3" borderId="0" xfId="0" applyFill="1" applyAlignment="1">
      <alignment vertical="center" wrapText="1"/>
    </xf>
    <xf numFmtId="176" fontId="7" fillId="6" borderId="29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wrapText="1"/>
    </xf>
    <xf numFmtId="0" fontId="1" fillId="5" borderId="13" xfId="0" applyFont="1" applyFill="1" applyBorder="1" applyAlignment="1">
      <alignment wrapText="1"/>
    </xf>
    <xf numFmtId="0" fontId="0" fillId="0" borderId="2" xfId="0" applyBorder="1"/>
    <xf numFmtId="0" fontId="0" fillId="0" borderId="3" xfId="0" applyBorder="1"/>
    <xf numFmtId="0" fontId="0" fillId="5" borderId="13" xfId="0" applyFill="1" applyBorder="1" applyAlignment="1">
      <alignment wrapText="1"/>
    </xf>
    <xf numFmtId="0" fontId="6" fillId="7" borderId="13" xfId="0" applyFont="1" applyFill="1" applyBorder="1" applyAlignment="1">
      <alignment wrapText="1"/>
    </xf>
    <xf numFmtId="0" fontId="0" fillId="7" borderId="13" xfId="0" applyFill="1" applyBorder="1" applyAlignment="1">
      <alignment wrapText="1"/>
    </xf>
  </cellXfs>
  <cellStyles count="1">
    <cellStyle name="Normal" xfId="0" builtinId="0"/>
  </cellStyles>
  <dxfs count="4">
    <dxf>
      <font>
        <b/>
        <color rgb="FF9C0006"/>
      </font>
      <fill>
        <patternFill patternType="solid">
          <bgColor rgb="FFFCE8E6"/>
        </patternFill>
      </fill>
    </dxf>
    <dxf>
      <font>
        <b/>
        <color rgb="FF006100"/>
      </font>
      <fill>
        <patternFill patternType="solid">
          <bgColor rgb="FFE2F0D9"/>
        </patternFill>
      </fill>
    </dxf>
    <dxf>
      <font>
        <b/>
        <color rgb="FF9C0006"/>
      </font>
      <fill>
        <patternFill patternType="solid">
          <bgColor rgb="FFFCE8E6"/>
        </patternFill>
      </fill>
    </dxf>
    <dxf>
      <font>
        <b/>
        <color rgb="FF006100"/>
      </font>
      <fill>
        <patternFill patternType="solid">
          <bgColor rgb="FFE2F0D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r>
              <a:rPr lang="fr-FR"/>
              <a:t>Bêtas des comparables — levered vs unlevered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Bêta levered</c:v>
          </c:tx>
          <c:spPr>
            <a:ln>
              <a:prstDash val="solid"/>
            </a:ln>
          </c:spPr>
          <c:invertIfNegative val="1"/>
          <c:cat>
            <c:strRef>
              <c:f>Synthese!$A$11:$A$14</c:f>
              <c:strCache>
                <c:ptCount val="4"/>
                <c:pt idx="0">
                  <c:v>BlackLine</c:v>
                </c:pt>
                <c:pt idx="1">
                  <c:v>BILL</c:v>
                </c:pt>
                <c:pt idx="2">
                  <c:v>nCino</c:v>
                </c:pt>
                <c:pt idx="3">
                  <c:v>Workiva</c:v>
                </c:pt>
              </c:strCache>
            </c:strRef>
          </c:cat>
          <c:val>
            <c:numRef>
              <c:f>Synthese!$B$11:$B$14</c:f>
              <c:numCache>
                <c:formatCode>0.00\x;[Red]\(0.00\x\);\-</c:formatCode>
                <c:ptCount val="4"/>
                <c:pt idx="0">
                  <c:v>0.71971998600094134</c:v>
                </c:pt>
                <c:pt idx="1">
                  <c:v>1.527124471493801</c:v>
                </c:pt>
                <c:pt idx="2">
                  <c:v>1.5500010875974932</c:v>
                </c:pt>
                <c:pt idx="3">
                  <c:v>0.73650025919191642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7D5-41E9-A932-F9F54BAB3F87}"/>
            </c:ext>
          </c:extLst>
        </c:ser>
        <c:ser>
          <c:idx val="1"/>
          <c:order val="1"/>
          <c:tx>
            <c:v>Bêta unlevered</c:v>
          </c:tx>
          <c:spPr>
            <a:ln>
              <a:prstDash val="solid"/>
            </a:ln>
          </c:spPr>
          <c:invertIfNegative val="1"/>
          <c:cat>
            <c:strRef>
              <c:f>Synthese!$A$11:$A$14</c:f>
              <c:strCache>
                <c:ptCount val="4"/>
                <c:pt idx="0">
                  <c:v>BlackLine</c:v>
                </c:pt>
                <c:pt idx="1">
                  <c:v>BILL</c:v>
                </c:pt>
                <c:pt idx="2">
                  <c:v>nCino</c:v>
                </c:pt>
                <c:pt idx="3">
                  <c:v>Workiva</c:v>
                </c:pt>
              </c:strCache>
            </c:strRef>
          </c:cat>
          <c:val>
            <c:numRef>
              <c:f>Synthese!$C$11:$C$14</c:f>
              <c:numCache>
                <c:formatCode>0.00\x;[Red]\(0.00\x\);\-</c:formatCode>
                <c:ptCount val="4"/>
                <c:pt idx="0">
                  <c:v>0.55815979728908005</c:v>
                </c:pt>
                <c:pt idx="1">
                  <c:v>1.1664149415244023</c:v>
                </c:pt>
                <c:pt idx="2">
                  <c:v>1.3830383185450368</c:v>
                </c:pt>
                <c:pt idx="3">
                  <c:v>0.61907394861992482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7D5-41E9-A932-F9F54BAB3F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.00\x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9</xdr:row>
      <xdr:rowOff>0</xdr:rowOff>
    </xdr:from>
    <xdr:to>
      <xdr:col>12</xdr:col>
      <xdr:colOff>0</xdr:colOff>
      <xdr:row>23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4"/>
  <sheetViews>
    <sheetView showGridLines="0" tabSelected="1" workbookViewId="0">
      <selection sqref="A1:L1"/>
    </sheetView>
  </sheetViews>
  <sheetFormatPr defaultRowHeight="14.25"/>
  <cols>
    <col min="1" max="1" width="22" customWidth="1"/>
    <col min="2" max="4" width="16" customWidth="1"/>
    <col min="5" max="12" width="14" customWidth="1"/>
  </cols>
  <sheetData>
    <row r="1" spans="1:12" ht="27.95" customHeight="1">
      <c r="A1" s="52" t="s">
        <v>0</v>
      </c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</row>
    <row r="2" spans="1:12">
      <c r="A2" s="50" t="s">
        <v>1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</row>
    <row r="4" spans="1:12" ht="15">
      <c r="A4" s="48" t="s">
        <v>2</v>
      </c>
      <c r="B4" s="49"/>
      <c r="D4" s="48" t="s">
        <v>3</v>
      </c>
      <c r="E4" s="49"/>
      <c r="G4" s="48" t="s">
        <v>4</v>
      </c>
      <c r="H4" s="49"/>
      <c r="J4" s="48" t="s">
        <v>5</v>
      </c>
      <c r="K4" s="49"/>
    </row>
    <row r="5" spans="1:12">
      <c r="A5" s="68">
        <f>'Structure Capital'!B18</f>
        <v>1.0582815837996695</v>
      </c>
      <c r="B5" s="56"/>
      <c r="D5" s="68">
        <f>'Structure Capital'!B20</f>
        <v>1.1499999999999999</v>
      </c>
      <c r="E5" s="56"/>
      <c r="G5" s="68">
        <f>'Structure Capital'!B19</f>
        <v>0.70874091415153062</v>
      </c>
      <c r="H5" s="56"/>
      <c r="J5" s="70">
        <f>COUNTIF(Controles!J11:J56,"PASS")</f>
        <v>46</v>
      </c>
      <c r="K5" s="56"/>
    </row>
    <row r="6" spans="1:12">
      <c r="A6" s="57"/>
      <c r="B6" s="59"/>
      <c r="D6" s="57"/>
      <c r="E6" s="59"/>
      <c r="G6" s="57"/>
      <c r="H6" s="59"/>
      <c r="J6" s="57"/>
      <c r="K6" s="59"/>
    </row>
    <row r="9" spans="1:12" ht="21.95" customHeight="1">
      <c r="A9" s="52" t="s">
        <v>6</v>
      </c>
      <c r="B9" s="51"/>
      <c r="C9" s="51"/>
      <c r="D9" s="51"/>
      <c r="E9" s="51"/>
      <c r="F9" s="51"/>
      <c r="G9" s="51"/>
      <c r="H9" s="51"/>
      <c r="I9" s="51"/>
      <c r="J9" s="51"/>
      <c r="K9" s="51"/>
      <c r="L9" s="51"/>
    </row>
    <row r="10" spans="1:12" ht="27.95" customHeight="1">
      <c r="A10" s="1" t="s">
        <v>7</v>
      </c>
      <c r="B10" s="2" t="s">
        <v>8</v>
      </c>
      <c r="C10" s="2" t="s">
        <v>9</v>
      </c>
      <c r="D10" s="3" t="s">
        <v>10</v>
      </c>
    </row>
    <row r="11" spans="1:12">
      <c r="A11" s="34" t="str">
        <f>'Structure Capital'!A6</f>
        <v>BlackLine</v>
      </c>
      <c r="B11" s="40">
        <f>'Structure Capital'!I6</f>
        <v>0.71971998600094134</v>
      </c>
      <c r="C11" s="40">
        <f>'Structure Capital'!J6</f>
        <v>0.55815979728908005</v>
      </c>
      <c r="D11" s="45">
        <f>'Structure Capital'!G6</f>
        <v>0.38593532890650351</v>
      </c>
    </row>
    <row r="12" spans="1:12">
      <c r="A12" s="34" t="str">
        <f>'Structure Capital'!A7</f>
        <v>BILL</v>
      </c>
      <c r="B12" s="40">
        <f>'Structure Capital'!I7</f>
        <v>1.527124471493801</v>
      </c>
      <c r="C12" s="40">
        <f>'Structure Capital'!J7</f>
        <v>1.1664149415244023</v>
      </c>
      <c r="D12" s="45">
        <f>'Structure Capital'!G7</f>
        <v>0.41232842862133096</v>
      </c>
    </row>
    <row r="13" spans="1:12">
      <c r="A13" s="34" t="str">
        <f>'Structure Capital'!A8</f>
        <v>nCino</v>
      </c>
      <c r="B13" s="40">
        <f>'Structure Capital'!I8</f>
        <v>1.5500010875974932</v>
      </c>
      <c r="C13" s="40">
        <f>'Structure Capital'!J8</f>
        <v>1.3830383185450368</v>
      </c>
      <c r="D13" s="45">
        <f>'Structure Capital'!G8</f>
        <v>0.16096229758656969</v>
      </c>
    </row>
    <row r="14" spans="1:12">
      <c r="A14" s="34" t="str">
        <f>'Structure Capital'!A9</f>
        <v>Workiva</v>
      </c>
      <c r="B14" s="40">
        <f>'Structure Capital'!I9</f>
        <v>0.73650025919191642</v>
      </c>
      <c r="C14" s="40">
        <f>'Structure Capital'!J9</f>
        <v>0.61907394861992482</v>
      </c>
      <c r="D14" s="45">
        <f>'Structure Capital'!G9</f>
        <v>0.25290745062850739</v>
      </c>
    </row>
    <row r="16" spans="1:12" ht="27.95" customHeight="1">
      <c r="A16" s="1" t="s">
        <v>11</v>
      </c>
      <c r="B16" s="2" t="s">
        <v>12</v>
      </c>
      <c r="C16" s="2" t="s">
        <v>13</v>
      </c>
      <c r="D16" s="3" t="s">
        <v>14</v>
      </c>
    </row>
    <row r="17" spans="1:12">
      <c r="A17" t="s">
        <v>15</v>
      </c>
      <c r="B17" s="40">
        <f>Regressions!E6</f>
        <v>0.17668190948166176</v>
      </c>
      <c r="C17" s="46">
        <f>Regressions!H6</f>
        <v>4.3860622498137916E-3</v>
      </c>
      <c r="D17" s="47">
        <f>Regressions!K6</f>
        <v>0.50415905694758067</v>
      </c>
    </row>
    <row r="19" spans="1:12">
      <c r="A19" s="53" t="s">
        <v>16</v>
      </c>
      <c r="B19" s="54"/>
      <c r="C19" s="54"/>
      <c r="D19" s="49"/>
    </row>
    <row r="20" spans="1:12">
      <c r="A20" s="55"/>
      <c r="B20" s="51"/>
      <c r="C20" s="51"/>
      <c r="D20" s="56"/>
    </row>
    <row r="21" spans="1:12">
      <c r="A21" s="57"/>
      <c r="B21" s="58"/>
      <c r="C21" s="58"/>
      <c r="D21" s="59"/>
    </row>
    <row r="25" spans="1:12" ht="21.95" customHeight="1">
      <c r="A25" s="52" t="s">
        <v>17</v>
      </c>
      <c r="B25" s="51"/>
      <c r="C25" s="51"/>
      <c r="D25" s="51"/>
      <c r="E25" s="51"/>
      <c r="F25" s="51"/>
      <c r="G25" s="51"/>
      <c r="H25" s="51"/>
      <c r="I25" s="51"/>
      <c r="J25" s="51"/>
      <c r="K25" s="51"/>
      <c r="L25" s="51"/>
    </row>
    <row r="27" spans="1:12">
      <c r="A27" s="60" t="str">
        <f>"La régression conduit à un bêta relevered central de "&amp;TEXT('Structure Capital'!B18,"0.00x")&amp;". Le bêta 1,15x déjà retenu dans le modèle est supérieur de "&amp;TEXT('Structure Capital'!B21,"0.00x")&amp;" et augmente le coût des fonds propres d’environ "&amp;TEXT('Structure Capital'!B23,"0.00%")&amp;" : son maintien est donc défendable comme choix prudent."</f>
        <v>La régression conduit à un bêta relevered central de 0.01x. Le bêta 1,15x déjà retenu dans le modèle est supérieur de 0.00x et augmente le coût des fonds propres d’environ 0.01% : son maintien est donc défendable comme choix prudent.</v>
      </c>
      <c r="B27" s="61"/>
      <c r="C27" s="61"/>
      <c r="D27" s="61"/>
      <c r="E27" s="61"/>
      <c r="F27" s="61"/>
      <c r="G27" s="61"/>
      <c r="H27" s="61"/>
      <c r="I27" s="61"/>
      <c r="J27" s="61"/>
      <c r="K27" s="61"/>
      <c r="L27" s="62"/>
    </row>
    <row r="28" spans="1:12">
      <c r="A28" s="63"/>
      <c r="B28" s="51"/>
      <c r="C28" s="51"/>
      <c r="D28" s="51"/>
      <c r="E28" s="51"/>
      <c r="F28" s="51"/>
      <c r="G28" s="51"/>
      <c r="H28" s="51"/>
      <c r="I28" s="51"/>
      <c r="J28" s="51"/>
      <c r="K28" s="51"/>
      <c r="L28" s="64"/>
    </row>
    <row r="29" spans="1:12">
      <c r="A29" s="65"/>
      <c r="B29" s="66"/>
      <c r="C29" s="66"/>
      <c r="D29" s="66"/>
      <c r="E29" s="66"/>
      <c r="F29" s="66"/>
      <c r="G29" s="66"/>
      <c r="H29" s="66"/>
      <c r="I29" s="66"/>
      <c r="J29" s="66"/>
      <c r="K29" s="66"/>
      <c r="L29" s="67"/>
    </row>
    <row r="31" spans="1:12">
      <c r="A31" s="69" t="s">
        <v>18</v>
      </c>
      <c r="B31" s="51"/>
      <c r="C31" s="51"/>
      <c r="D31" s="51"/>
      <c r="E31" s="51"/>
      <c r="F31" s="51"/>
      <c r="G31" s="51"/>
      <c r="H31" s="51"/>
      <c r="I31" s="51"/>
      <c r="J31" s="51"/>
      <c r="K31" s="51"/>
      <c r="L31" s="51"/>
    </row>
    <row r="32" spans="1:12">
      <c r="A32" s="51"/>
      <c r="B32" s="51"/>
      <c r="C32" s="51"/>
      <c r="D32" s="51"/>
      <c r="E32" s="51"/>
      <c r="F32" s="51"/>
      <c r="G32" s="51"/>
      <c r="H32" s="51"/>
      <c r="I32" s="51"/>
      <c r="J32" s="51"/>
      <c r="K32" s="51"/>
      <c r="L32" s="51"/>
    </row>
    <row r="33" spans="1:12">
      <c r="A33" s="51"/>
      <c r="B33" s="51"/>
      <c r="C33" s="51"/>
      <c r="D33" s="51"/>
      <c r="E33" s="51"/>
      <c r="F33" s="51"/>
      <c r="G33" s="51"/>
      <c r="H33" s="51"/>
      <c r="I33" s="51"/>
      <c r="J33" s="51"/>
      <c r="K33" s="51"/>
      <c r="L33" s="51"/>
    </row>
    <row r="34" spans="1:12">
      <c r="A34" s="51"/>
      <c r="B34" s="51"/>
      <c r="C34" s="51"/>
      <c r="D34" s="51"/>
      <c r="E34" s="51"/>
      <c r="F34" s="51"/>
      <c r="G34" s="51"/>
      <c r="H34" s="51"/>
      <c r="I34" s="51"/>
      <c r="J34" s="51"/>
      <c r="K34" s="51"/>
      <c r="L34" s="51"/>
    </row>
  </sheetData>
  <mergeCells count="15">
    <mergeCell ref="A31:L34"/>
    <mergeCell ref="J5:K6"/>
    <mergeCell ref="A1:L1"/>
    <mergeCell ref="A19:D21"/>
    <mergeCell ref="A27:L29"/>
    <mergeCell ref="D5:E6"/>
    <mergeCell ref="A5:B6"/>
    <mergeCell ref="G5:H6"/>
    <mergeCell ref="D4:E4"/>
    <mergeCell ref="A9:L9"/>
    <mergeCell ref="A4:B4"/>
    <mergeCell ref="G4:H4"/>
    <mergeCell ref="A2:L2"/>
    <mergeCell ref="J4:K4"/>
    <mergeCell ref="A25:L25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8"/>
  <sheetViews>
    <sheetView showGridLines="0" workbookViewId="0"/>
  </sheetViews>
  <sheetFormatPr defaultRowHeight="14.25"/>
  <cols>
    <col min="1" max="1" width="30" customWidth="1"/>
    <col min="2" max="2" width="24" customWidth="1"/>
    <col min="3" max="3" width="22" customWidth="1"/>
    <col min="4" max="4" width="32" customWidth="1"/>
    <col min="5" max="5" width="16" customWidth="1"/>
    <col min="6" max="6" width="46" customWidth="1"/>
  </cols>
  <sheetData>
    <row r="1" spans="1:6" ht="27.95" customHeight="1">
      <c r="A1" s="52" t="s">
        <v>19</v>
      </c>
      <c r="B1" s="51"/>
      <c r="C1" s="51"/>
      <c r="D1" s="51"/>
      <c r="E1" s="51"/>
      <c r="F1" s="51"/>
    </row>
    <row r="2" spans="1:6">
      <c r="A2" s="71" t="s">
        <v>20</v>
      </c>
      <c r="B2" s="51"/>
      <c r="C2" s="51"/>
      <c r="D2" s="51"/>
      <c r="E2" s="51"/>
      <c r="F2" s="51"/>
    </row>
    <row r="4" spans="1:6" ht="27.95" customHeight="1">
      <c r="A4" s="1" t="s">
        <v>21</v>
      </c>
      <c r="B4" s="2" t="s">
        <v>22</v>
      </c>
      <c r="C4" s="2" t="s">
        <v>23</v>
      </c>
      <c r="D4" s="2" t="s">
        <v>24</v>
      </c>
      <c r="E4" s="2" t="s">
        <v>25</v>
      </c>
      <c r="F4" s="3" t="s">
        <v>26</v>
      </c>
    </row>
    <row r="5" spans="1:6" ht="28.5">
      <c r="A5" s="5" t="s">
        <v>27</v>
      </c>
      <c r="B5" s="6">
        <v>46218</v>
      </c>
      <c r="C5" s="7" t="s">
        <v>28</v>
      </c>
      <c r="D5" s="13" t="s">
        <v>29</v>
      </c>
      <c r="E5" s="13" t="s">
        <v>30</v>
      </c>
      <c r="F5" s="14" t="s">
        <v>31</v>
      </c>
    </row>
    <row r="6" spans="1:6" ht="28.5">
      <c r="A6" s="8" t="s">
        <v>32</v>
      </c>
      <c r="B6" s="9">
        <v>45485</v>
      </c>
      <c r="C6" s="10" t="s">
        <v>28</v>
      </c>
      <c r="D6" s="15" t="s">
        <v>33</v>
      </c>
      <c r="E6" s="15" t="s">
        <v>30</v>
      </c>
      <c r="F6" s="16" t="s">
        <v>34</v>
      </c>
    </row>
    <row r="7" spans="1:6" ht="28.5">
      <c r="A7" s="8" t="s">
        <v>35</v>
      </c>
      <c r="B7" s="9">
        <v>46213</v>
      </c>
      <c r="C7" s="10" t="s">
        <v>28</v>
      </c>
      <c r="D7" s="15" t="s">
        <v>36</v>
      </c>
      <c r="E7" s="15" t="s">
        <v>30</v>
      </c>
      <c r="F7" s="16" t="s">
        <v>37</v>
      </c>
    </row>
    <row r="8" spans="1:6">
      <c r="A8" s="8" t="s">
        <v>38</v>
      </c>
      <c r="B8" s="10">
        <v>104</v>
      </c>
      <c r="C8" s="10" t="s">
        <v>39</v>
      </c>
      <c r="D8" s="15" t="s">
        <v>40</v>
      </c>
      <c r="E8" s="15" t="s">
        <v>41</v>
      </c>
      <c r="F8" s="16" t="s">
        <v>42</v>
      </c>
    </row>
    <row r="9" spans="1:6" ht="28.5">
      <c r="A9" s="8" t="s">
        <v>43</v>
      </c>
      <c r="B9" s="10" t="s">
        <v>44</v>
      </c>
      <c r="C9" s="10" t="s">
        <v>45</v>
      </c>
      <c r="D9" s="15" t="s">
        <v>46</v>
      </c>
      <c r="E9" s="15" t="s">
        <v>30</v>
      </c>
      <c r="F9" s="16" t="s">
        <v>47</v>
      </c>
    </row>
    <row r="10" spans="1:6">
      <c r="A10" s="8" t="s">
        <v>48</v>
      </c>
      <c r="B10" s="10" t="s">
        <v>49</v>
      </c>
      <c r="C10" s="10" t="s">
        <v>50</v>
      </c>
      <c r="D10" s="15" t="s">
        <v>51</v>
      </c>
      <c r="E10" s="15" t="s">
        <v>41</v>
      </c>
      <c r="F10" s="16" t="s">
        <v>52</v>
      </c>
    </row>
    <row r="11" spans="1:6">
      <c r="A11" s="8" t="s">
        <v>53</v>
      </c>
      <c r="B11" s="10" t="s">
        <v>54</v>
      </c>
      <c r="C11" s="10" t="s">
        <v>55</v>
      </c>
      <c r="D11" s="15" t="s">
        <v>56</v>
      </c>
      <c r="E11" s="15" t="s">
        <v>57</v>
      </c>
      <c r="F11" s="16" t="s">
        <v>58</v>
      </c>
    </row>
    <row r="12" spans="1:6">
      <c r="A12" s="8" t="s">
        <v>59</v>
      </c>
      <c r="B12" s="10" t="s">
        <v>60</v>
      </c>
      <c r="C12" s="10" t="s">
        <v>61</v>
      </c>
      <c r="D12" s="15" t="s">
        <v>62</v>
      </c>
      <c r="E12" s="15" t="s">
        <v>63</v>
      </c>
      <c r="F12" s="16" t="s">
        <v>64</v>
      </c>
    </row>
    <row r="13" spans="1:6">
      <c r="A13" s="8" t="s">
        <v>65</v>
      </c>
      <c r="B13" s="10" t="s">
        <v>66</v>
      </c>
      <c r="C13" s="10" t="s">
        <v>67</v>
      </c>
      <c r="D13" s="15" t="s">
        <v>68</v>
      </c>
      <c r="E13" s="15" t="s">
        <v>57</v>
      </c>
      <c r="F13" s="16" t="s">
        <v>69</v>
      </c>
    </row>
    <row r="14" spans="1:6">
      <c r="A14" s="8" t="s">
        <v>70</v>
      </c>
      <c r="B14" s="10" t="s">
        <v>71</v>
      </c>
      <c r="C14" s="10" t="s">
        <v>72</v>
      </c>
      <c r="D14" s="15" t="s">
        <v>73</v>
      </c>
      <c r="E14" s="15" t="s">
        <v>63</v>
      </c>
      <c r="F14" s="16" t="s">
        <v>74</v>
      </c>
    </row>
    <row r="15" spans="1:6">
      <c r="A15" s="8" t="s">
        <v>75</v>
      </c>
      <c r="B15" s="10" t="s">
        <v>76</v>
      </c>
      <c r="C15" s="10" t="s">
        <v>77</v>
      </c>
      <c r="D15" s="15" t="s">
        <v>78</v>
      </c>
      <c r="E15" s="15" t="s">
        <v>79</v>
      </c>
      <c r="F15" s="16" t="s">
        <v>80</v>
      </c>
    </row>
    <row r="16" spans="1:6">
      <c r="A16" s="11" t="s">
        <v>81</v>
      </c>
      <c r="B16" s="12" t="s">
        <v>76</v>
      </c>
      <c r="C16" s="12" t="s">
        <v>82</v>
      </c>
      <c r="D16" s="17" t="s">
        <v>83</v>
      </c>
      <c r="E16" s="17" t="s">
        <v>79</v>
      </c>
      <c r="F16" s="18" t="s">
        <v>84</v>
      </c>
    </row>
    <row r="18" spans="1:6" ht="48" customHeight="1">
      <c r="A18" s="72" t="s">
        <v>85</v>
      </c>
      <c r="B18" s="73"/>
      <c r="C18" s="73"/>
      <c r="D18" s="73"/>
      <c r="E18" s="73"/>
      <c r="F18" s="74"/>
    </row>
  </sheetData>
  <mergeCells count="3">
    <mergeCell ref="A2:F2"/>
    <mergeCell ref="A1:F1"/>
    <mergeCell ref="A18:F1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09"/>
  <sheetViews>
    <sheetView showGridLines="0" workbookViewId="0"/>
  </sheetViews>
  <sheetFormatPr defaultRowHeight="14.25"/>
  <cols>
    <col min="1" max="10" width="14" customWidth="1"/>
  </cols>
  <sheetData>
    <row r="1" spans="1:10" ht="27.95" customHeight="1">
      <c r="A1" s="52" t="s">
        <v>86</v>
      </c>
      <c r="B1" s="51"/>
      <c r="C1" s="51"/>
      <c r="D1" s="51"/>
      <c r="E1" s="51"/>
      <c r="F1" s="51"/>
      <c r="G1" s="51"/>
      <c r="H1" s="51"/>
      <c r="I1" s="51"/>
      <c r="J1" s="51"/>
    </row>
    <row r="2" spans="1:10">
      <c r="A2" s="50" t="s">
        <v>87</v>
      </c>
      <c r="B2" s="51"/>
      <c r="C2" s="51"/>
      <c r="D2" s="51"/>
      <c r="E2" s="51"/>
      <c r="F2" s="51"/>
      <c r="G2" s="51"/>
      <c r="H2" s="51"/>
      <c r="I2" s="51"/>
      <c r="J2" s="51"/>
    </row>
    <row r="4" spans="1:10" ht="27.95" customHeight="1">
      <c r="A4" s="1" t="s">
        <v>88</v>
      </c>
      <c r="B4" s="2" t="s">
        <v>89</v>
      </c>
      <c r="C4" s="2" t="s">
        <v>54</v>
      </c>
      <c r="D4" s="2" t="s">
        <v>90</v>
      </c>
      <c r="E4" s="2" t="s">
        <v>91</v>
      </c>
      <c r="F4" s="2" t="s">
        <v>92</v>
      </c>
      <c r="G4" s="2" t="s">
        <v>93</v>
      </c>
      <c r="H4" s="2" t="s">
        <v>66</v>
      </c>
      <c r="I4" s="2" t="s">
        <v>94</v>
      </c>
      <c r="J4" s="3" t="s">
        <v>95</v>
      </c>
    </row>
    <row r="5" spans="1:10">
      <c r="A5" s="4">
        <v>45485</v>
      </c>
      <c r="B5" s="19">
        <v>175</v>
      </c>
      <c r="C5" s="20">
        <v>7724.31982421875</v>
      </c>
      <c r="D5" s="21">
        <v>47.990001678466797</v>
      </c>
      <c r="E5" s="21">
        <v>51.259998321533203</v>
      </c>
      <c r="F5" s="21">
        <v>31.360000610351559</v>
      </c>
      <c r="G5" s="21">
        <v>74.330001831054688</v>
      </c>
      <c r="H5" s="20">
        <v>5615.35009765625</v>
      </c>
      <c r="I5" s="20">
        <v>18398.44921875</v>
      </c>
      <c r="J5" s="20">
        <v>524.08001708984375</v>
      </c>
    </row>
    <row r="6" spans="1:10">
      <c r="A6" s="4">
        <v>45492</v>
      </c>
      <c r="B6" s="19">
        <v>180</v>
      </c>
      <c r="C6" s="20">
        <v>7534.52001953125</v>
      </c>
      <c r="D6" s="21">
        <v>46.770000457763672</v>
      </c>
      <c r="E6" s="21">
        <v>53.610000610351563</v>
      </c>
      <c r="F6" s="21">
        <v>31.979999542236332</v>
      </c>
      <c r="G6" s="21">
        <v>72.089996337890625</v>
      </c>
      <c r="H6" s="20">
        <v>5505</v>
      </c>
      <c r="I6" s="20">
        <v>17726.939453125</v>
      </c>
      <c r="J6" s="20">
        <v>510.02999877929688</v>
      </c>
    </row>
    <row r="7" spans="1:10">
      <c r="A7" s="4">
        <v>45499</v>
      </c>
      <c r="B7" s="19">
        <v>194</v>
      </c>
      <c r="C7" s="20">
        <v>7517.68017578125</v>
      </c>
      <c r="D7" s="21">
        <v>47.819999694824219</v>
      </c>
      <c r="E7" s="21">
        <v>52.830001831054688</v>
      </c>
      <c r="F7" s="21">
        <v>33.540000915527337</v>
      </c>
      <c r="G7" s="21">
        <v>74.519996643066406</v>
      </c>
      <c r="H7" s="20">
        <v>5459.10009765625</v>
      </c>
      <c r="I7" s="20">
        <v>17357.880859375</v>
      </c>
      <c r="J7" s="20">
        <v>512.83001708984375</v>
      </c>
    </row>
    <row r="8" spans="1:10">
      <c r="A8" s="4">
        <v>45506</v>
      </c>
      <c r="B8" s="19">
        <v>192.5</v>
      </c>
      <c r="C8" s="20">
        <v>7251.7998046875</v>
      </c>
      <c r="D8" s="21">
        <v>45.569999694824219</v>
      </c>
      <c r="E8" s="21">
        <v>46.770000457763672</v>
      </c>
      <c r="F8" s="21">
        <v>31.45000076293945</v>
      </c>
      <c r="G8" s="21">
        <v>72.19000244140625</v>
      </c>
      <c r="H8" s="20">
        <v>5346.56005859375</v>
      </c>
      <c r="I8" s="20">
        <v>16776.16015625</v>
      </c>
      <c r="J8" s="20">
        <v>497.85000610351563</v>
      </c>
    </row>
    <row r="9" spans="1:10">
      <c r="A9" s="4">
        <v>45513</v>
      </c>
      <c r="B9" s="19">
        <v>203</v>
      </c>
      <c r="C9" s="20">
        <v>7269.7099609375</v>
      </c>
      <c r="D9" s="21">
        <v>51.659999847412109</v>
      </c>
      <c r="E9" s="21">
        <v>46.939998626708977</v>
      </c>
      <c r="F9" s="21">
        <v>32.099998474121087</v>
      </c>
      <c r="G9" s="21">
        <v>74.620002746582031</v>
      </c>
      <c r="H9" s="20">
        <v>5344.16015625</v>
      </c>
      <c r="I9" s="20">
        <v>16745.30078125</v>
      </c>
      <c r="J9" s="20">
        <v>499.19000244140619</v>
      </c>
    </row>
    <row r="10" spans="1:10">
      <c r="A10" s="4">
        <v>45520</v>
      </c>
      <c r="B10" s="19">
        <v>205</v>
      </c>
      <c r="C10" s="20">
        <v>7449.7001953125</v>
      </c>
      <c r="D10" s="21">
        <v>51.560001373291023</v>
      </c>
      <c r="E10" s="21">
        <v>49.119998931884773</v>
      </c>
      <c r="F10" s="21">
        <v>34.240001678466797</v>
      </c>
      <c r="G10" s="21">
        <v>78.199996948242188</v>
      </c>
      <c r="H10" s="20">
        <v>5554.25</v>
      </c>
      <c r="I10" s="20">
        <v>17631.720703125</v>
      </c>
      <c r="J10" s="20">
        <v>511.45001220703119</v>
      </c>
    </row>
    <row r="11" spans="1:10">
      <c r="A11" s="4">
        <v>45527</v>
      </c>
      <c r="B11" s="19">
        <v>225</v>
      </c>
      <c r="C11" s="20">
        <v>7577.0400390625</v>
      </c>
      <c r="D11" s="21">
        <v>50.830001831054688</v>
      </c>
      <c r="E11" s="21">
        <v>47.340000152587891</v>
      </c>
      <c r="F11" s="21">
        <v>35</v>
      </c>
      <c r="G11" s="21">
        <v>79.639999389648438</v>
      </c>
      <c r="H11" s="20">
        <v>5634.60986328125</v>
      </c>
      <c r="I11" s="20">
        <v>17877.7890625</v>
      </c>
      <c r="J11" s="20">
        <v>518.1300048828125</v>
      </c>
    </row>
    <row r="12" spans="1:10">
      <c r="A12" s="4">
        <v>45534</v>
      </c>
      <c r="B12" s="19">
        <v>200</v>
      </c>
      <c r="C12" s="20">
        <v>7630.9501953125</v>
      </c>
      <c r="D12" s="21">
        <v>49.549999237060547</v>
      </c>
      <c r="E12" s="21">
        <v>54.560001373291023</v>
      </c>
      <c r="F12" s="21">
        <v>29.95999908447266</v>
      </c>
      <c r="G12" s="21">
        <v>78.169998168945313</v>
      </c>
      <c r="H12" s="20">
        <v>5648.39990234375</v>
      </c>
      <c r="I12" s="20">
        <v>17713.619140625</v>
      </c>
      <c r="J12" s="20">
        <v>525.04998779296875</v>
      </c>
    </row>
    <row r="13" spans="1:10">
      <c r="A13" s="4">
        <v>45541</v>
      </c>
      <c r="B13" s="19">
        <v>202</v>
      </c>
      <c r="C13" s="20">
        <v>7352.2998046875</v>
      </c>
      <c r="D13" s="21">
        <v>47.919998168945313</v>
      </c>
      <c r="E13" s="21">
        <v>55.060001373291023</v>
      </c>
      <c r="F13" s="21">
        <v>30.04999923706055</v>
      </c>
      <c r="G13" s="21">
        <v>73.089996337890625</v>
      </c>
      <c r="H13" s="20">
        <v>5408.419921875</v>
      </c>
      <c r="I13" s="20">
        <v>16690.830078125</v>
      </c>
      <c r="J13" s="20">
        <v>506.55999755859381</v>
      </c>
    </row>
    <row r="14" spans="1:10">
      <c r="A14" s="4">
        <v>45548</v>
      </c>
      <c r="B14" s="19">
        <v>200</v>
      </c>
      <c r="C14" s="20">
        <v>7465.25</v>
      </c>
      <c r="D14" s="21">
        <v>50.009998321533203</v>
      </c>
      <c r="E14" s="21">
        <v>51.909999847412109</v>
      </c>
      <c r="F14" s="21">
        <v>29.389999389648441</v>
      </c>
      <c r="G14" s="21">
        <v>74.730003356933594</v>
      </c>
      <c r="H14" s="20">
        <v>5626.02001953125</v>
      </c>
      <c r="I14" s="20">
        <v>17683.98046875</v>
      </c>
      <c r="J14" s="20">
        <v>515.95001220703125</v>
      </c>
    </row>
    <row r="15" spans="1:10">
      <c r="A15" s="4">
        <v>45555</v>
      </c>
      <c r="B15" s="19">
        <v>213</v>
      </c>
      <c r="C15" s="20">
        <v>7500.259765625</v>
      </c>
      <c r="D15" s="21">
        <v>51.979999542236328</v>
      </c>
      <c r="E15" s="21">
        <v>54.259998321533203</v>
      </c>
      <c r="F15" s="21">
        <v>30.440000534057621</v>
      </c>
      <c r="G15" s="21">
        <v>79.160003662109375</v>
      </c>
      <c r="H15" s="20">
        <v>5702.5498046875</v>
      </c>
      <c r="I15" s="20">
        <v>17948.3203125</v>
      </c>
      <c r="J15" s="20">
        <v>514.260009765625</v>
      </c>
    </row>
    <row r="16" spans="1:10">
      <c r="A16" s="4">
        <v>45562</v>
      </c>
      <c r="B16" s="19">
        <v>229</v>
      </c>
      <c r="C16" s="20">
        <v>7791.7900390625</v>
      </c>
      <c r="D16" s="21">
        <v>52.849998474121087</v>
      </c>
      <c r="E16" s="21">
        <v>53.180000305175781</v>
      </c>
      <c r="F16" s="21">
        <v>31.29000091552734</v>
      </c>
      <c r="G16" s="21">
        <v>80.480003356933594</v>
      </c>
      <c r="H16" s="20">
        <v>5738.169921875</v>
      </c>
      <c r="I16" s="20">
        <v>18119.58984375</v>
      </c>
      <c r="J16" s="20">
        <v>528.08001708984375</v>
      </c>
    </row>
    <row r="17" spans="1:10">
      <c r="A17" s="4">
        <v>45569</v>
      </c>
      <c r="B17" s="19">
        <v>219</v>
      </c>
      <c r="C17" s="20">
        <v>7541.35986328125</v>
      </c>
      <c r="D17" s="21">
        <v>54.509998321533203</v>
      </c>
      <c r="E17" s="21">
        <v>55.509998321533203</v>
      </c>
      <c r="F17" s="21">
        <v>30.969999313354489</v>
      </c>
      <c r="G17" s="21">
        <v>79.730003356933594</v>
      </c>
      <c r="H17" s="20">
        <v>5751.06982421875</v>
      </c>
      <c r="I17" s="20">
        <v>18137.849609375</v>
      </c>
      <c r="J17" s="20">
        <v>518.55999755859375</v>
      </c>
    </row>
    <row r="18" spans="1:10">
      <c r="A18" s="4">
        <v>45576</v>
      </c>
      <c r="B18" s="19">
        <v>222</v>
      </c>
      <c r="C18" s="20">
        <v>7577.89013671875</v>
      </c>
      <c r="D18" s="21">
        <v>56.040000915527337</v>
      </c>
      <c r="E18" s="21">
        <v>55.819999694824219</v>
      </c>
      <c r="F18" s="21">
        <v>34.509998321533203</v>
      </c>
      <c r="G18" s="21">
        <v>79.089996337890625</v>
      </c>
      <c r="H18" s="20">
        <v>5815.02978515625</v>
      </c>
      <c r="I18" s="20">
        <v>18342.939453125</v>
      </c>
      <c r="J18" s="20">
        <v>521.97998046875</v>
      </c>
    </row>
    <row r="19" spans="1:10">
      <c r="A19" s="4">
        <v>45583</v>
      </c>
      <c r="B19" s="19">
        <v>224</v>
      </c>
      <c r="C19" s="20">
        <v>7613.0498046875</v>
      </c>
      <c r="D19" s="21">
        <v>58.930000305175781</v>
      </c>
      <c r="E19" s="21">
        <v>57.770000457763672</v>
      </c>
      <c r="F19" s="21">
        <v>36.580001831054688</v>
      </c>
      <c r="G19" s="21">
        <v>81.519996643066406</v>
      </c>
      <c r="H19" s="20">
        <v>5864.669921875</v>
      </c>
      <c r="I19" s="20">
        <v>18489.55078125</v>
      </c>
      <c r="J19" s="20">
        <v>524.989990234375</v>
      </c>
    </row>
    <row r="20" spans="1:10">
      <c r="A20" s="4">
        <v>45590</v>
      </c>
      <c r="B20" s="19">
        <v>228</v>
      </c>
      <c r="C20" s="20">
        <v>7497.5400390625</v>
      </c>
      <c r="D20" s="21">
        <v>56.569999694824219</v>
      </c>
      <c r="E20" s="21">
        <v>54.770000457763672</v>
      </c>
      <c r="F20" s="21">
        <v>37.830001831054688</v>
      </c>
      <c r="G20" s="21">
        <v>78.779998779296875</v>
      </c>
      <c r="H20" s="20">
        <v>5808.1201171875</v>
      </c>
      <c r="I20" s="20">
        <v>18518.609375</v>
      </c>
      <c r="J20" s="20">
        <v>518.80999755859375</v>
      </c>
    </row>
    <row r="21" spans="1:10">
      <c r="A21" s="4">
        <v>45597</v>
      </c>
      <c r="B21" s="19">
        <v>221</v>
      </c>
      <c r="C21" s="20">
        <v>7409.10986328125</v>
      </c>
      <c r="D21" s="21">
        <v>55.509998321533203</v>
      </c>
      <c r="E21" s="21">
        <v>58.259998321533203</v>
      </c>
      <c r="F21" s="21">
        <v>37.330001831054688</v>
      </c>
      <c r="G21" s="21">
        <v>79.169998168945313</v>
      </c>
      <c r="H21" s="20">
        <v>5728.7998046875</v>
      </c>
      <c r="I21" s="20">
        <v>18239.919921875</v>
      </c>
      <c r="J21" s="20">
        <v>510.89999389648438</v>
      </c>
    </row>
    <row r="22" spans="1:10">
      <c r="A22" s="4">
        <v>45604</v>
      </c>
      <c r="B22" s="19">
        <v>226</v>
      </c>
      <c r="C22" s="20">
        <v>7338.669921875</v>
      </c>
      <c r="D22" s="21">
        <v>60.369998931884773</v>
      </c>
      <c r="E22" s="21">
        <v>77.30999755859375</v>
      </c>
      <c r="F22" s="21">
        <v>42.529998779296882</v>
      </c>
      <c r="G22" s="21">
        <v>94.75</v>
      </c>
      <c r="H22" s="20">
        <v>5995.5400390625</v>
      </c>
      <c r="I22" s="20">
        <v>19286.779296875</v>
      </c>
      <c r="J22" s="20">
        <v>506.6300048828125</v>
      </c>
    </row>
    <row r="23" spans="1:10">
      <c r="A23" s="4">
        <v>45611</v>
      </c>
      <c r="B23" s="19">
        <v>228</v>
      </c>
      <c r="C23" s="20">
        <v>7269.6298828125</v>
      </c>
      <c r="D23" s="21">
        <v>59.310001373291023</v>
      </c>
      <c r="E23" s="21">
        <v>84.69000244140625</v>
      </c>
      <c r="F23" s="21">
        <v>40.220001220703118</v>
      </c>
      <c r="G23" s="21">
        <v>91.279998779296875</v>
      </c>
      <c r="H23" s="20">
        <v>5870.6201171875</v>
      </c>
      <c r="I23" s="20">
        <v>18680.119140625</v>
      </c>
      <c r="J23" s="20">
        <v>503.1199951171875</v>
      </c>
    </row>
    <row r="24" spans="1:10">
      <c r="A24" s="4">
        <v>45618</v>
      </c>
      <c r="B24" s="19">
        <v>227</v>
      </c>
      <c r="C24" s="20">
        <v>7255.009765625</v>
      </c>
      <c r="D24" s="21">
        <v>62.700000762939453</v>
      </c>
      <c r="E24" s="21">
        <v>91.510002136230469</v>
      </c>
      <c r="F24" s="21">
        <v>41.419998168945313</v>
      </c>
      <c r="G24" s="21">
        <v>95.620002746582031</v>
      </c>
      <c r="H24" s="20">
        <v>5969.33984375</v>
      </c>
      <c r="I24" s="20">
        <v>19003.650390625</v>
      </c>
      <c r="J24" s="20">
        <v>508.47000122070313</v>
      </c>
    </row>
    <row r="25" spans="1:10">
      <c r="A25" s="4">
        <v>45625</v>
      </c>
      <c r="B25" s="19">
        <v>224</v>
      </c>
      <c r="C25" s="20">
        <v>7235.10986328125</v>
      </c>
      <c r="D25" s="21">
        <v>62.009998321533203</v>
      </c>
      <c r="E25" s="21">
        <v>90.220001220703125</v>
      </c>
      <c r="F25" s="21">
        <v>41.990001678466797</v>
      </c>
      <c r="G25" s="21">
        <v>97.25</v>
      </c>
      <c r="H25" s="20">
        <v>6032.3798828125</v>
      </c>
      <c r="I25" s="20">
        <v>19218.169921875</v>
      </c>
      <c r="J25" s="20">
        <v>510.25</v>
      </c>
    </row>
    <row r="26" spans="1:10">
      <c r="A26" s="4">
        <v>45632</v>
      </c>
      <c r="B26" s="19">
        <v>219</v>
      </c>
      <c r="C26" s="20">
        <v>7426.8798828125</v>
      </c>
      <c r="D26" s="21">
        <v>64.230003356933594</v>
      </c>
      <c r="E26" s="21">
        <v>97.410003662109375</v>
      </c>
      <c r="F26" s="21">
        <v>37.409999847412109</v>
      </c>
      <c r="G26" s="21">
        <v>102.86000061035161</v>
      </c>
      <c r="H26" s="20">
        <v>6090.27001953125</v>
      </c>
      <c r="I26" s="20">
        <v>19859.76953125</v>
      </c>
      <c r="J26" s="20">
        <v>520.469970703125</v>
      </c>
    </row>
    <row r="27" spans="1:10">
      <c r="A27" s="4">
        <v>45639</v>
      </c>
      <c r="B27" s="19">
        <v>223</v>
      </c>
      <c r="C27" s="20">
        <v>7409.56982421875</v>
      </c>
      <c r="D27" s="21">
        <v>63.860000610351563</v>
      </c>
      <c r="E27" s="21">
        <v>87.839996337890625</v>
      </c>
      <c r="F27" s="21">
        <v>35.459999084472663</v>
      </c>
      <c r="G27" s="21">
        <v>103.870002746582</v>
      </c>
      <c r="H27" s="20">
        <v>6051.08984375</v>
      </c>
      <c r="I27" s="20">
        <v>19926.720703125</v>
      </c>
      <c r="J27" s="20">
        <v>516.45001220703125</v>
      </c>
    </row>
    <row r="28" spans="1:10">
      <c r="A28" s="4">
        <v>45646</v>
      </c>
      <c r="B28" s="19">
        <v>228</v>
      </c>
      <c r="C28" s="20">
        <v>7274.47998046875</v>
      </c>
      <c r="D28" s="21">
        <v>63.430000305175781</v>
      </c>
      <c r="E28" s="21">
        <v>89.519996643066406</v>
      </c>
      <c r="F28" s="21">
        <v>35.220001220703118</v>
      </c>
      <c r="G28" s="21">
        <v>114.7799987792969</v>
      </c>
      <c r="H28" s="20">
        <v>5930.85009765625</v>
      </c>
      <c r="I28" s="20">
        <v>19572.599609375</v>
      </c>
      <c r="J28" s="20">
        <v>502.19000244140619</v>
      </c>
    </row>
    <row r="29" spans="1:10">
      <c r="A29" s="4">
        <v>45653</v>
      </c>
      <c r="B29" s="19">
        <v>222</v>
      </c>
      <c r="C29" s="20">
        <v>7355.3701171875</v>
      </c>
      <c r="D29" s="21">
        <v>61.200000762939453</v>
      </c>
      <c r="E29" s="21">
        <v>86.94000244140625</v>
      </c>
      <c r="F29" s="21">
        <v>34.430000305175781</v>
      </c>
      <c r="G29" s="21">
        <v>111.129997253418</v>
      </c>
      <c r="H29" s="20">
        <v>5970.83984375</v>
      </c>
      <c r="I29" s="20">
        <v>19722.029296875</v>
      </c>
      <c r="J29" s="20">
        <v>507.17999267578119</v>
      </c>
    </row>
    <row r="30" spans="1:10">
      <c r="A30" s="4">
        <v>45660</v>
      </c>
      <c r="B30" s="19">
        <v>224</v>
      </c>
      <c r="C30" s="20">
        <v>7282.22021484375</v>
      </c>
      <c r="D30" s="21">
        <v>61.639999389648438</v>
      </c>
      <c r="E30" s="21">
        <v>88.239997863769531</v>
      </c>
      <c r="F30" s="21">
        <v>34.069999694824219</v>
      </c>
      <c r="G30" s="21">
        <v>111.34999847412109</v>
      </c>
      <c r="H30" s="20">
        <v>5942.47021484375</v>
      </c>
      <c r="I30" s="20">
        <v>19621.6796875</v>
      </c>
      <c r="J30" s="20">
        <v>508.19000244140619</v>
      </c>
    </row>
    <row r="31" spans="1:10">
      <c r="A31" s="4">
        <v>45667</v>
      </c>
      <c r="B31" s="19">
        <v>234</v>
      </c>
      <c r="C31" s="20">
        <v>7431.0400390625</v>
      </c>
      <c r="D31" s="21">
        <v>55.659999847412109</v>
      </c>
      <c r="E31" s="21">
        <v>83.199996948242188</v>
      </c>
      <c r="F31" s="21">
        <v>32.540000915527337</v>
      </c>
      <c r="G31" s="21">
        <v>105.86000061035161</v>
      </c>
      <c r="H31" s="20">
        <v>5827.0400390625</v>
      </c>
      <c r="I31" s="20">
        <v>19161.630859375</v>
      </c>
      <c r="J31" s="20">
        <v>511.5</v>
      </c>
    </row>
    <row r="32" spans="1:10">
      <c r="A32" s="4">
        <v>45674</v>
      </c>
      <c r="B32" s="19">
        <v>227</v>
      </c>
      <c r="C32" s="20">
        <v>7709.75</v>
      </c>
      <c r="D32" s="21">
        <v>59.650001525878913</v>
      </c>
      <c r="E32" s="21">
        <v>88.900001525878906</v>
      </c>
      <c r="F32" s="21">
        <v>33.240001678466797</v>
      </c>
      <c r="G32" s="21">
        <v>112.0299987792969</v>
      </c>
      <c r="H32" s="20">
        <v>5996.66015625</v>
      </c>
      <c r="I32" s="20">
        <v>19630.19921875</v>
      </c>
      <c r="J32" s="20">
        <v>523.6199951171875</v>
      </c>
    </row>
    <row r="33" spans="1:10">
      <c r="A33" s="4">
        <v>45681</v>
      </c>
      <c r="B33" s="19">
        <v>243</v>
      </c>
      <c r="C33" s="20">
        <v>7927.6201171875</v>
      </c>
      <c r="D33" s="21">
        <v>60.459999084472663</v>
      </c>
      <c r="E33" s="21">
        <v>93.879997253417969</v>
      </c>
      <c r="F33" s="21">
        <v>32.569999694824219</v>
      </c>
      <c r="G33" s="21">
        <v>97</v>
      </c>
      <c r="H33" s="20">
        <v>6101.240234375</v>
      </c>
      <c r="I33" s="20">
        <v>19954.30078125</v>
      </c>
      <c r="J33" s="20">
        <v>530.07000732421875</v>
      </c>
    </row>
    <row r="34" spans="1:10">
      <c r="A34" s="4">
        <v>45688</v>
      </c>
      <c r="B34" s="19">
        <v>253</v>
      </c>
      <c r="C34" s="20">
        <v>7950.169921875</v>
      </c>
      <c r="D34" s="21">
        <v>63.849998474121087</v>
      </c>
      <c r="E34" s="21">
        <v>96.769996643066406</v>
      </c>
      <c r="F34" s="21">
        <v>34.009998321533203</v>
      </c>
      <c r="G34" s="21">
        <v>98.220001220703125</v>
      </c>
      <c r="H34" s="20">
        <v>6040.52978515625</v>
      </c>
      <c r="I34" s="20">
        <v>19627.439453125</v>
      </c>
      <c r="J34" s="20">
        <v>539.530029296875</v>
      </c>
    </row>
    <row r="35" spans="1:10">
      <c r="A35" s="4">
        <v>45695</v>
      </c>
      <c r="B35" s="19">
        <v>255</v>
      </c>
      <c r="C35" s="20">
        <v>7973.02978515625</v>
      </c>
      <c r="D35" s="21">
        <v>64.629997253417969</v>
      </c>
      <c r="E35" s="21">
        <v>62.130001068115227</v>
      </c>
      <c r="F35" s="21">
        <v>32.439998626708977</v>
      </c>
      <c r="G35" s="21">
        <v>98.919998168945313</v>
      </c>
      <c r="H35" s="20">
        <v>6025.990234375</v>
      </c>
      <c r="I35" s="20">
        <v>19523.400390625</v>
      </c>
      <c r="J35" s="20">
        <v>542.75</v>
      </c>
    </row>
    <row r="36" spans="1:10">
      <c r="A36" s="4">
        <v>45702</v>
      </c>
      <c r="B36" s="19">
        <v>252</v>
      </c>
      <c r="C36" s="20">
        <v>8178.5400390625</v>
      </c>
      <c r="D36" s="21">
        <v>51.369998931884773</v>
      </c>
      <c r="E36" s="21">
        <v>59.819999694824219</v>
      </c>
      <c r="F36" s="21">
        <v>34.25</v>
      </c>
      <c r="G36" s="21">
        <v>89.080001831054688</v>
      </c>
      <c r="H36" s="20">
        <v>6114.6298828125</v>
      </c>
      <c r="I36" s="20">
        <v>20026.76953125</v>
      </c>
      <c r="J36" s="20">
        <v>552.40997314453125</v>
      </c>
    </row>
    <row r="37" spans="1:10">
      <c r="A37" s="4">
        <v>45709</v>
      </c>
      <c r="B37" s="19">
        <v>261</v>
      </c>
      <c r="C37" s="20">
        <v>8154.509765625</v>
      </c>
      <c r="D37" s="21">
        <v>49.099998474121087</v>
      </c>
      <c r="E37" s="21">
        <v>52.729999542236328</v>
      </c>
      <c r="F37" s="21">
        <v>32.060001373291023</v>
      </c>
      <c r="G37" s="21">
        <v>84.430000305175781</v>
      </c>
      <c r="H37" s="20">
        <v>6013.1298828125</v>
      </c>
      <c r="I37" s="20">
        <v>19524.009765625</v>
      </c>
      <c r="J37" s="20">
        <v>553.8499755859375</v>
      </c>
    </row>
    <row r="38" spans="1:10">
      <c r="A38" s="4">
        <v>45716</v>
      </c>
      <c r="B38" s="19">
        <v>268</v>
      </c>
      <c r="C38" s="20">
        <v>8111.6298828125</v>
      </c>
      <c r="D38" s="21">
        <v>48.299999237060547</v>
      </c>
      <c r="E38" s="21">
        <v>55.200000762939453</v>
      </c>
      <c r="F38" s="21">
        <v>31.309999465942379</v>
      </c>
      <c r="G38" s="21">
        <v>87.519996643066406</v>
      </c>
      <c r="H38" s="20">
        <v>5954.5</v>
      </c>
      <c r="I38" s="20">
        <v>18847.279296875</v>
      </c>
      <c r="J38" s="20">
        <v>557.19000244140625</v>
      </c>
    </row>
    <row r="39" spans="1:10">
      <c r="A39" s="4">
        <v>45723</v>
      </c>
      <c r="B39" s="19">
        <v>258</v>
      </c>
      <c r="C39" s="20">
        <v>8120.7998046875</v>
      </c>
      <c r="D39" s="21">
        <v>48.880001068115227</v>
      </c>
      <c r="E39" s="21">
        <v>47.240001678466797</v>
      </c>
      <c r="F39" s="21">
        <v>30.530000686645511</v>
      </c>
      <c r="G39" s="21">
        <v>85.870002746582031</v>
      </c>
      <c r="H39" s="20">
        <v>5770.2001953125</v>
      </c>
      <c r="I39" s="20">
        <v>18196.220703125</v>
      </c>
      <c r="J39" s="20">
        <v>553.3499755859375</v>
      </c>
    </row>
    <row r="40" spans="1:10">
      <c r="A40" s="4">
        <v>45730</v>
      </c>
      <c r="B40" s="19">
        <v>255</v>
      </c>
      <c r="C40" s="20">
        <v>8028.27978515625</v>
      </c>
      <c r="D40" s="21">
        <v>49.889999389648438</v>
      </c>
      <c r="E40" s="21">
        <v>46.419998168945313</v>
      </c>
      <c r="F40" s="21">
        <v>28.340000152587891</v>
      </c>
      <c r="G40" s="21">
        <v>87.540000915527344</v>
      </c>
      <c r="H40" s="20">
        <v>5638.93994140625</v>
      </c>
      <c r="I40" s="20">
        <v>17754.08984375</v>
      </c>
      <c r="J40" s="20">
        <v>546.5999755859375</v>
      </c>
    </row>
    <row r="41" spans="1:10">
      <c r="A41" s="4">
        <v>45737</v>
      </c>
      <c r="B41" s="19">
        <v>246</v>
      </c>
      <c r="C41" s="20">
        <v>8042.9501953125</v>
      </c>
      <c r="D41" s="21">
        <v>50.290000915527337</v>
      </c>
      <c r="E41" s="21">
        <v>47.919998168945313</v>
      </c>
      <c r="F41" s="21">
        <v>28.5</v>
      </c>
      <c r="G41" s="21">
        <v>87.230003356933594</v>
      </c>
      <c r="H41" s="20">
        <v>5667.56005859375</v>
      </c>
      <c r="I41" s="20">
        <v>17784.05078125</v>
      </c>
      <c r="J41" s="20">
        <v>549.66998291015625</v>
      </c>
    </row>
    <row r="42" spans="1:10">
      <c r="A42" s="4">
        <v>45744</v>
      </c>
      <c r="B42" s="19">
        <v>242</v>
      </c>
      <c r="C42" s="20">
        <v>7916.080078125</v>
      </c>
      <c r="D42" s="21">
        <v>48.810001373291023</v>
      </c>
      <c r="E42" s="21">
        <v>46.25</v>
      </c>
      <c r="F42" s="21">
        <v>28.920000076293949</v>
      </c>
      <c r="G42" s="21">
        <v>78.730003356933594</v>
      </c>
      <c r="H42" s="20">
        <v>5580.93994140625</v>
      </c>
      <c r="I42" s="20">
        <v>17322.990234375</v>
      </c>
      <c r="J42" s="20">
        <v>542.0999755859375</v>
      </c>
    </row>
    <row r="43" spans="1:10">
      <c r="A43" s="4">
        <v>45751</v>
      </c>
      <c r="B43" s="19">
        <v>227</v>
      </c>
      <c r="C43" s="20">
        <v>7274.9501953125</v>
      </c>
      <c r="D43" s="21">
        <v>44.099998474121087</v>
      </c>
      <c r="E43" s="21">
        <v>39.540000915527337</v>
      </c>
      <c r="F43" s="21">
        <v>21.45000076293945</v>
      </c>
      <c r="G43" s="21">
        <v>67.569999694824219</v>
      </c>
      <c r="H43" s="20">
        <v>5074.080078125</v>
      </c>
      <c r="I43" s="20">
        <v>15587.7900390625</v>
      </c>
      <c r="J43" s="20">
        <v>496.32998657226563</v>
      </c>
    </row>
    <row r="44" spans="1:10">
      <c r="A44" s="4">
        <v>45758</v>
      </c>
      <c r="B44" s="19">
        <v>236.1000061035156</v>
      </c>
      <c r="C44" s="20">
        <v>7104.7998046875</v>
      </c>
      <c r="D44" s="21">
        <v>45.590000152587891</v>
      </c>
      <c r="E44" s="21">
        <v>41.580001831054688</v>
      </c>
      <c r="F44" s="21">
        <v>23.860000610351559</v>
      </c>
      <c r="G44" s="21">
        <v>66.410003662109375</v>
      </c>
      <c r="H44" s="20">
        <v>5363.35986328125</v>
      </c>
      <c r="I44" s="20">
        <v>16724.4609375</v>
      </c>
      <c r="J44" s="20">
        <v>486.79998779296881</v>
      </c>
    </row>
    <row r="45" spans="1:10">
      <c r="A45" s="4">
        <v>45765</v>
      </c>
      <c r="B45" s="19">
        <v>213</v>
      </c>
      <c r="C45" s="20">
        <v>7285.85986328125</v>
      </c>
      <c r="D45" s="21">
        <v>44.439998626708977</v>
      </c>
      <c r="E45" s="21">
        <v>40.610000610351563</v>
      </c>
      <c r="F45" s="21">
        <v>23.95000076293945</v>
      </c>
      <c r="G45" s="21">
        <v>67.629997253417969</v>
      </c>
      <c r="H45" s="20">
        <v>5282.7001953125</v>
      </c>
      <c r="I45" s="20">
        <v>16286.4501953125</v>
      </c>
      <c r="J45" s="20">
        <v>506.42001342773438</v>
      </c>
    </row>
    <row r="46" spans="1:10">
      <c r="A46" s="4">
        <v>45772</v>
      </c>
      <c r="B46" s="19">
        <v>225</v>
      </c>
      <c r="C46" s="20">
        <v>7536.259765625</v>
      </c>
      <c r="D46" s="21">
        <v>47.220001220703118</v>
      </c>
      <c r="E46" s="21">
        <v>45.229999542236328</v>
      </c>
      <c r="F46" s="21">
        <v>23.04000091552734</v>
      </c>
      <c r="G46" s="21">
        <v>73.620002746582031</v>
      </c>
      <c r="H46" s="20">
        <v>5525.2099609375</v>
      </c>
      <c r="I46" s="20">
        <v>17382.939453125</v>
      </c>
      <c r="J46" s="20">
        <v>520.45001220703125</v>
      </c>
    </row>
    <row r="47" spans="1:10">
      <c r="A47" s="4">
        <v>45779</v>
      </c>
      <c r="B47" s="19">
        <v>228</v>
      </c>
      <c r="C47" s="20">
        <v>7770.47998046875</v>
      </c>
      <c r="D47" s="21">
        <v>47.270000457763672</v>
      </c>
      <c r="E47" s="21">
        <v>45.299999237060547</v>
      </c>
      <c r="F47" s="21">
        <v>22.95999908447266</v>
      </c>
      <c r="G47" s="21">
        <v>67.410003662109375</v>
      </c>
      <c r="H47" s="20">
        <v>5686.669921875</v>
      </c>
      <c r="I47" s="20">
        <v>17977.73046875</v>
      </c>
      <c r="J47" s="20">
        <v>536.42999267578125</v>
      </c>
    </row>
    <row r="48" spans="1:10">
      <c r="A48" s="4">
        <v>45786</v>
      </c>
      <c r="B48" s="19">
        <v>242.3500061035156</v>
      </c>
      <c r="C48" s="20">
        <v>7743.75</v>
      </c>
      <c r="D48" s="21">
        <v>53.229999542236328</v>
      </c>
      <c r="E48" s="21">
        <v>44.720001220703118</v>
      </c>
      <c r="F48" s="21">
        <v>24.030000686645511</v>
      </c>
      <c r="G48" s="21">
        <v>67.569999694824219</v>
      </c>
      <c r="H48" s="20">
        <v>5659.91015625</v>
      </c>
      <c r="I48" s="20">
        <v>17928.919921875</v>
      </c>
      <c r="J48" s="20">
        <v>537.96002197265625</v>
      </c>
    </row>
    <row r="49" spans="1:10">
      <c r="A49" s="4">
        <v>45793</v>
      </c>
      <c r="B49" s="19">
        <v>264</v>
      </c>
      <c r="C49" s="20">
        <v>7886.68994140625</v>
      </c>
      <c r="D49" s="21">
        <v>55.540000915527337</v>
      </c>
      <c r="E49" s="21">
        <v>46.259998321533203</v>
      </c>
      <c r="F49" s="21">
        <v>24.60000038146973</v>
      </c>
      <c r="G49" s="21">
        <v>71.459999084472656</v>
      </c>
      <c r="H49" s="20">
        <v>5958.3798828125</v>
      </c>
      <c r="I49" s="20">
        <v>19211.099609375</v>
      </c>
      <c r="J49" s="20">
        <v>549.260009765625</v>
      </c>
    </row>
    <row r="50" spans="1:10">
      <c r="A50" s="4">
        <v>45800</v>
      </c>
      <c r="B50" s="19">
        <v>258</v>
      </c>
      <c r="C50" s="20">
        <v>7734.39990234375</v>
      </c>
      <c r="D50" s="21">
        <v>54.159999847412109</v>
      </c>
      <c r="E50" s="21">
        <v>44.400001525878913</v>
      </c>
      <c r="F50" s="21">
        <v>26.260000228881839</v>
      </c>
      <c r="G50" s="21">
        <v>67.160003662109375</v>
      </c>
      <c r="H50" s="20">
        <v>5802.81982421875</v>
      </c>
      <c r="I50" s="20">
        <v>18737.2109375</v>
      </c>
      <c r="J50" s="20">
        <v>545.1300048828125</v>
      </c>
    </row>
    <row r="51" spans="1:10">
      <c r="A51" s="4">
        <v>45807</v>
      </c>
      <c r="B51" s="19">
        <v>254</v>
      </c>
      <c r="C51" s="20">
        <v>7751.89013671875</v>
      </c>
      <c r="D51" s="21">
        <v>55.930000305175781</v>
      </c>
      <c r="E51" s="21">
        <v>43.680000305175781</v>
      </c>
      <c r="F51" s="21">
        <v>26.29999923706055</v>
      </c>
      <c r="G51" s="21">
        <v>67.290000915527344</v>
      </c>
      <c r="H51" s="20">
        <v>5911.68994140625</v>
      </c>
      <c r="I51" s="20">
        <v>19113.76953125</v>
      </c>
      <c r="J51" s="20">
        <v>548.66998291015625</v>
      </c>
    </row>
    <row r="52" spans="1:10">
      <c r="A52" s="4">
        <v>45814</v>
      </c>
      <c r="B52" s="19">
        <v>279</v>
      </c>
      <c r="C52" s="20">
        <v>7804.8701171875</v>
      </c>
      <c r="D52" s="21">
        <v>57.349998474121087</v>
      </c>
      <c r="E52" s="21">
        <v>45.619998931884773</v>
      </c>
      <c r="F52" s="21">
        <v>27.319999694824219</v>
      </c>
      <c r="G52" s="21">
        <v>69.209999084472656</v>
      </c>
      <c r="H52" s="20">
        <v>6000.35986328125</v>
      </c>
      <c r="I52" s="20">
        <v>19529.94921875</v>
      </c>
      <c r="J52" s="20">
        <v>553.6400146484375</v>
      </c>
    </row>
    <row r="53" spans="1:10">
      <c r="A53" s="4">
        <v>45821</v>
      </c>
      <c r="B53" s="19">
        <v>263</v>
      </c>
      <c r="C53" s="20">
        <v>7684.68017578125</v>
      </c>
      <c r="D53" s="21">
        <v>54.060001373291023</v>
      </c>
      <c r="E53" s="21">
        <v>41.400001525878913</v>
      </c>
      <c r="F53" s="21">
        <v>26.989999771118161</v>
      </c>
      <c r="G53" s="21">
        <v>65.730003356933594</v>
      </c>
      <c r="H53" s="20">
        <v>5976.97021484375</v>
      </c>
      <c r="I53" s="20">
        <v>19406.830078125</v>
      </c>
      <c r="J53" s="20">
        <v>544.94000244140625</v>
      </c>
    </row>
    <row r="54" spans="1:10">
      <c r="A54" s="4">
        <v>45828</v>
      </c>
      <c r="B54" s="19">
        <v>267</v>
      </c>
      <c r="C54" s="20">
        <v>7589.66015625</v>
      </c>
      <c r="D54" s="21">
        <v>54.779998779296882</v>
      </c>
      <c r="E54" s="21">
        <v>43.700000762939453</v>
      </c>
      <c r="F54" s="21">
        <v>26.45000076293945</v>
      </c>
      <c r="G54" s="21">
        <v>65.400001525878906</v>
      </c>
      <c r="H54" s="20">
        <v>5967.83984375</v>
      </c>
      <c r="I54" s="20">
        <v>19447.41015625</v>
      </c>
      <c r="J54" s="20">
        <v>536.530029296875</v>
      </c>
    </row>
    <row r="55" spans="1:10">
      <c r="A55" s="4">
        <v>45835</v>
      </c>
      <c r="B55" s="19">
        <v>255</v>
      </c>
      <c r="C55" s="20">
        <v>7691.5498046875</v>
      </c>
      <c r="D55" s="21">
        <v>56.639999389648438</v>
      </c>
      <c r="E55" s="21">
        <v>45.569999694824219</v>
      </c>
      <c r="F55" s="21">
        <v>27.659999847412109</v>
      </c>
      <c r="G55" s="21">
        <v>65.819999694824219</v>
      </c>
      <c r="H55" s="20">
        <v>6173.06982421875</v>
      </c>
      <c r="I55" s="20">
        <v>20273.4609375</v>
      </c>
      <c r="J55" s="20">
        <v>543.6300048828125</v>
      </c>
    </row>
    <row r="56" spans="1:10">
      <c r="A56" s="4">
        <v>45842</v>
      </c>
      <c r="B56" s="19">
        <v>249</v>
      </c>
      <c r="C56" s="20">
        <v>7696.27001953125</v>
      </c>
      <c r="D56" s="21">
        <v>57.810001373291023</v>
      </c>
      <c r="E56" s="21">
        <v>48.209999084472663</v>
      </c>
      <c r="F56" s="21">
        <v>28.70000076293945</v>
      </c>
      <c r="G56" s="21">
        <v>69.220001220703125</v>
      </c>
      <c r="H56" s="20">
        <v>6279.35009765625</v>
      </c>
      <c r="I56" s="20">
        <v>20601.099609375</v>
      </c>
      <c r="J56" s="20">
        <v>541.1300048828125</v>
      </c>
    </row>
    <row r="57" spans="1:10">
      <c r="A57" s="4">
        <v>45849</v>
      </c>
      <c r="B57" s="19">
        <v>242</v>
      </c>
      <c r="C57" s="20">
        <v>7829.2900390625</v>
      </c>
      <c r="D57" s="21">
        <v>53.650001525878913</v>
      </c>
      <c r="E57" s="21">
        <v>44.729999542236328</v>
      </c>
      <c r="F57" s="21">
        <v>28.819999694824219</v>
      </c>
      <c r="G57" s="21">
        <v>67.139999389648438</v>
      </c>
      <c r="H57" s="20">
        <v>6259.75</v>
      </c>
      <c r="I57" s="20">
        <v>20585.529296875</v>
      </c>
      <c r="J57" s="20">
        <v>547.34002685546875</v>
      </c>
    </row>
    <row r="58" spans="1:10">
      <c r="A58" s="4">
        <v>45856</v>
      </c>
      <c r="B58" s="19">
        <v>229</v>
      </c>
      <c r="C58" s="20">
        <v>7822.669921875</v>
      </c>
      <c r="D58" s="21">
        <v>56.560001373291023</v>
      </c>
      <c r="E58" s="21">
        <v>45.860000610351563</v>
      </c>
      <c r="F58" s="21">
        <v>30.610000610351559</v>
      </c>
      <c r="G58" s="21">
        <v>66.510002136230469</v>
      </c>
      <c r="H58" s="20">
        <v>6296.7900390625</v>
      </c>
      <c r="I58" s="20">
        <v>20895.650390625</v>
      </c>
      <c r="J58" s="20">
        <v>547</v>
      </c>
    </row>
    <row r="59" spans="1:10">
      <c r="A59" s="4">
        <v>45863</v>
      </c>
      <c r="B59" s="19">
        <v>229</v>
      </c>
      <c r="C59" s="20">
        <v>7834.580078125</v>
      </c>
      <c r="D59" s="21">
        <v>56</v>
      </c>
      <c r="E59" s="21">
        <v>45.919998168945313</v>
      </c>
      <c r="F59" s="21">
        <v>30.79999923706055</v>
      </c>
      <c r="G59" s="21">
        <v>67.989997863769531</v>
      </c>
      <c r="H59" s="20">
        <v>6388.64013671875</v>
      </c>
      <c r="I59" s="20">
        <v>21108.3203125</v>
      </c>
      <c r="J59" s="20">
        <v>549.95001220703125</v>
      </c>
    </row>
    <row r="60" spans="1:10">
      <c r="A60" s="4">
        <v>45870</v>
      </c>
      <c r="B60" s="19">
        <v>218</v>
      </c>
      <c r="C60" s="20">
        <v>7546.16015625</v>
      </c>
      <c r="D60" s="21">
        <v>52.930000305175781</v>
      </c>
      <c r="E60" s="21">
        <v>41.729999542236328</v>
      </c>
      <c r="F60" s="21">
        <v>27.14999961853027</v>
      </c>
      <c r="G60" s="21">
        <v>84.300003051757813</v>
      </c>
      <c r="H60" s="20">
        <v>6238.009765625</v>
      </c>
      <c r="I60" s="20">
        <v>20650.130859375</v>
      </c>
      <c r="J60" s="20">
        <v>546.1099853515625</v>
      </c>
    </row>
    <row r="61" spans="1:10">
      <c r="A61" s="4">
        <v>45877</v>
      </c>
      <c r="B61" s="19">
        <v>212</v>
      </c>
      <c r="C61" s="20">
        <v>7743</v>
      </c>
      <c r="D61" s="21">
        <v>48.349998474121087</v>
      </c>
      <c r="E61" s="21">
        <v>40.740001678466797</v>
      </c>
      <c r="F61" s="21">
        <v>26.190000534057621</v>
      </c>
      <c r="G61" s="21">
        <v>73.55999755859375</v>
      </c>
      <c r="H61" s="20">
        <v>6389.4501953125</v>
      </c>
      <c r="I61" s="20">
        <v>21450.01953125</v>
      </c>
      <c r="J61" s="20">
        <v>547.08001708984375</v>
      </c>
    </row>
    <row r="62" spans="1:10">
      <c r="A62" s="4">
        <v>45884</v>
      </c>
      <c r="B62" s="19">
        <v>208</v>
      </c>
      <c r="C62" s="20">
        <v>7923.4501953125</v>
      </c>
      <c r="D62" s="21">
        <v>50.830001831054688</v>
      </c>
      <c r="E62" s="21">
        <v>40.439998626708977</v>
      </c>
      <c r="F62" s="21">
        <v>27.75</v>
      </c>
      <c r="G62" s="21">
        <v>74.75</v>
      </c>
      <c r="H62" s="20">
        <v>6449.7998046875</v>
      </c>
      <c r="I62" s="20">
        <v>21622.98046875</v>
      </c>
      <c r="J62" s="20">
        <v>553.55999755859375</v>
      </c>
    </row>
    <row r="63" spans="1:10">
      <c r="A63" s="4">
        <v>45891</v>
      </c>
      <c r="B63" s="19">
        <v>213</v>
      </c>
      <c r="C63" s="20">
        <v>7969.68994140625</v>
      </c>
      <c r="D63" s="21">
        <v>53.979999542236328</v>
      </c>
      <c r="E63" s="21">
        <v>42.290000915527337</v>
      </c>
      <c r="F63" s="21">
        <v>29.079999923706051</v>
      </c>
      <c r="G63" s="21">
        <v>79.980003356933594</v>
      </c>
      <c r="H63" s="20">
        <v>6466.91015625</v>
      </c>
      <c r="I63" s="20">
        <v>21496.5390625</v>
      </c>
      <c r="J63" s="20">
        <v>561.29998779296875</v>
      </c>
    </row>
    <row r="64" spans="1:10">
      <c r="A64" s="4">
        <v>45898</v>
      </c>
      <c r="B64" s="19">
        <v>226</v>
      </c>
      <c r="C64" s="20">
        <v>7703.89990234375</v>
      </c>
      <c r="D64" s="21">
        <v>54.369998931884773</v>
      </c>
      <c r="E64" s="21">
        <v>46.419998168945313</v>
      </c>
      <c r="F64" s="21">
        <v>32.110000610351563</v>
      </c>
      <c r="G64" s="21">
        <v>82.239997863769531</v>
      </c>
      <c r="H64" s="20">
        <v>6460.259765625</v>
      </c>
      <c r="I64" s="20">
        <v>21455.55078125</v>
      </c>
      <c r="J64" s="20">
        <v>550.1400146484375</v>
      </c>
    </row>
    <row r="65" spans="1:10">
      <c r="A65" s="4">
        <v>45905</v>
      </c>
      <c r="B65" s="19">
        <v>205</v>
      </c>
      <c r="C65" s="20">
        <v>7674.77978515625</v>
      </c>
      <c r="D65" s="21">
        <v>53.610000610351563</v>
      </c>
      <c r="E65" s="21">
        <v>51.540000915527337</v>
      </c>
      <c r="F65" s="21">
        <v>30.39999961853027</v>
      </c>
      <c r="G65" s="21">
        <v>79.930000305175781</v>
      </c>
      <c r="H65" s="20">
        <v>6481.5</v>
      </c>
      <c r="I65" s="20">
        <v>21700.390625</v>
      </c>
      <c r="J65" s="20">
        <v>549.21002197265625</v>
      </c>
    </row>
    <row r="66" spans="1:10">
      <c r="A66" s="4">
        <v>45912</v>
      </c>
      <c r="B66" s="19">
        <v>206</v>
      </c>
      <c r="C66" s="20">
        <v>7825.240234375</v>
      </c>
      <c r="D66" s="21">
        <v>54.290000915527337</v>
      </c>
      <c r="E66" s="21">
        <v>51.069999694824219</v>
      </c>
      <c r="F66" s="21">
        <v>30.090000152587891</v>
      </c>
      <c r="G66" s="21">
        <v>77.480003356933594</v>
      </c>
      <c r="H66" s="20">
        <v>6584.2900390625</v>
      </c>
      <c r="I66" s="20">
        <v>22141.099609375</v>
      </c>
      <c r="J66" s="20">
        <v>554.84002685546875</v>
      </c>
    </row>
    <row r="67" spans="1:10">
      <c r="A67" s="4">
        <v>45919</v>
      </c>
      <c r="B67" s="19">
        <v>231</v>
      </c>
      <c r="C67" s="20">
        <v>7853.58984375</v>
      </c>
      <c r="D67" s="21">
        <v>53.009998321533203</v>
      </c>
      <c r="E67" s="21">
        <v>52.340000152587891</v>
      </c>
      <c r="F67" s="21">
        <v>29.629999160766602</v>
      </c>
      <c r="G67" s="21">
        <v>79.660003662109375</v>
      </c>
      <c r="H67" s="20">
        <v>6664.35986328125</v>
      </c>
      <c r="I67" s="20">
        <v>22631.48046875</v>
      </c>
      <c r="J67" s="20">
        <v>554.1199951171875</v>
      </c>
    </row>
    <row r="68" spans="1:10">
      <c r="A68" s="4">
        <v>45926</v>
      </c>
      <c r="B68" s="19">
        <v>234</v>
      </c>
      <c r="C68" s="20">
        <v>7870.68017578125</v>
      </c>
      <c r="D68" s="21">
        <v>52.840000152587891</v>
      </c>
      <c r="E68" s="21">
        <v>54.180000305175781</v>
      </c>
      <c r="F68" s="21">
        <v>27.979999542236332</v>
      </c>
      <c r="G68" s="21">
        <v>85.790000915527344</v>
      </c>
      <c r="H68" s="20">
        <v>6643.7001953125</v>
      </c>
      <c r="I68" s="20">
        <v>22484.0703125</v>
      </c>
      <c r="J68" s="20">
        <v>554.52001953125</v>
      </c>
    </row>
    <row r="69" spans="1:10">
      <c r="A69" s="4">
        <v>45933</v>
      </c>
      <c r="B69" s="19">
        <v>245</v>
      </c>
      <c r="C69" s="20">
        <v>8081.5400390625</v>
      </c>
      <c r="D69" s="21">
        <v>51.610000610351563</v>
      </c>
      <c r="E69" s="21">
        <v>53.340000152587891</v>
      </c>
      <c r="F69" s="21">
        <v>26.229999542236332</v>
      </c>
      <c r="G69" s="21">
        <v>87.800003051757813</v>
      </c>
      <c r="H69" s="20">
        <v>6715.7900390625</v>
      </c>
      <c r="I69" s="20">
        <v>22780.509765625</v>
      </c>
      <c r="J69" s="20">
        <v>570.45001220703125</v>
      </c>
    </row>
    <row r="70" spans="1:10">
      <c r="A70" s="4">
        <v>45940</v>
      </c>
      <c r="B70" s="19">
        <v>239</v>
      </c>
      <c r="C70" s="20">
        <v>7918</v>
      </c>
      <c r="D70" s="21">
        <v>49.090000152587891</v>
      </c>
      <c r="E70" s="21">
        <v>49.340000152587891</v>
      </c>
      <c r="F70" s="21">
        <v>25.020000457763668</v>
      </c>
      <c r="G70" s="21">
        <v>86.959999084472656</v>
      </c>
      <c r="H70" s="20">
        <v>6552.509765625</v>
      </c>
      <c r="I70" s="20">
        <v>22204.4296875</v>
      </c>
      <c r="J70" s="20">
        <v>564.15997314453125</v>
      </c>
    </row>
    <row r="71" spans="1:10">
      <c r="A71" s="4">
        <v>45947</v>
      </c>
      <c r="B71" s="19">
        <v>258</v>
      </c>
      <c r="C71" s="20">
        <v>8174.2001953125</v>
      </c>
      <c r="D71" s="21">
        <v>49.819999694824219</v>
      </c>
      <c r="E71" s="21">
        <v>51.080001831054688</v>
      </c>
      <c r="F71" s="21">
        <v>23.760000228881839</v>
      </c>
      <c r="G71" s="21">
        <v>87.790000915527344</v>
      </c>
      <c r="H71" s="20">
        <v>6664.009765625</v>
      </c>
      <c r="I71" s="20">
        <v>22679.970703125</v>
      </c>
      <c r="J71" s="20">
        <v>566.239990234375</v>
      </c>
    </row>
    <row r="72" spans="1:10">
      <c r="A72" s="4">
        <v>45954</v>
      </c>
      <c r="B72" s="19">
        <v>239</v>
      </c>
      <c r="C72" s="20">
        <v>8225.6298828125</v>
      </c>
      <c r="D72" s="21">
        <v>52.560001373291023</v>
      </c>
      <c r="E72" s="21">
        <v>51.209999084472663</v>
      </c>
      <c r="F72" s="21">
        <v>26.069999694824219</v>
      </c>
      <c r="G72" s="21">
        <v>89.19000244140625</v>
      </c>
      <c r="H72" s="20">
        <v>6791.68994140625</v>
      </c>
      <c r="I72" s="20">
        <v>23204.869140625</v>
      </c>
      <c r="J72" s="20">
        <v>575.760009765625</v>
      </c>
    </row>
    <row r="73" spans="1:10">
      <c r="A73" s="4">
        <v>45961</v>
      </c>
      <c r="B73" s="19">
        <v>230</v>
      </c>
      <c r="C73" s="20">
        <v>8121.06982421875</v>
      </c>
      <c r="D73" s="21">
        <v>57.25</v>
      </c>
      <c r="E73" s="21">
        <v>49.659999847412109</v>
      </c>
      <c r="F73" s="21">
        <v>26.680000305175781</v>
      </c>
      <c r="G73" s="21">
        <v>85.010002136230469</v>
      </c>
      <c r="H73" s="20">
        <v>6840.2001953125</v>
      </c>
      <c r="I73" s="20">
        <v>23724.9609375</v>
      </c>
      <c r="J73" s="20">
        <v>571.8900146484375</v>
      </c>
    </row>
    <row r="74" spans="1:10">
      <c r="A74" s="4">
        <v>45968</v>
      </c>
      <c r="B74" s="19">
        <v>226</v>
      </c>
      <c r="C74" s="20">
        <v>7950.18017578125</v>
      </c>
      <c r="D74" s="21">
        <v>53.580001831054688</v>
      </c>
      <c r="E74" s="21">
        <v>45.590000152587891</v>
      </c>
      <c r="F74" s="21">
        <v>26.059999465942379</v>
      </c>
      <c r="G74" s="21">
        <v>89</v>
      </c>
      <c r="H74" s="20">
        <v>6728.7998046875</v>
      </c>
      <c r="I74" s="20">
        <v>23004.5390625</v>
      </c>
      <c r="J74" s="20">
        <v>564.78997802734375</v>
      </c>
    </row>
    <row r="75" spans="1:10">
      <c r="A75" s="4">
        <v>45975</v>
      </c>
      <c r="B75" s="19">
        <v>247</v>
      </c>
      <c r="C75" s="20">
        <v>8170.08984375</v>
      </c>
      <c r="D75" s="21">
        <v>54.669998168945313</v>
      </c>
      <c r="E75" s="21">
        <v>50.349998474121087</v>
      </c>
      <c r="F75" s="21">
        <v>25.520000457763668</v>
      </c>
      <c r="G75" s="21">
        <v>91.029998779296875</v>
      </c>
      <c r="H75" s="20">
        <v>6734.10986328125</v>
      </c>
      <c r="I75" s="20">
        <v>22900.58984375</v>
      </c>
      <c r="J75" s="20">
        <v>574.80999755859375</v>
      </c>
    </row>
    <row r="76" spans="1:10">
      <c r="A76" s="4">
        <v>45982</v>
      </c>
      <c r="B76" s="19">
        <v>246</v>
      </c>
      <c r="C76" s="20">
        <v>7982.64990234375</v>
      </c>
      <c r="D76" s="21">
        <v>54.860000610351563</v>
      </c>
      <c r="E76" s="21">
        <v>48.189998626708977</v>
      </c>
      <c r="F76" s="21">
        <v>24.389999389648441</v>
      </c>
      <c r="G76" s="21">
        <v>90.510002136230469</v>
      </c>
      <c r="H76" s="20">
        <v>6602.990234375</v>
      </c>
      <c r="I76" s="20">
        <v>22273.080078125</v>
      </c>
      <c r="J76" s="20">
        <v>562.0999755859375</v>
      </c>
    </row>
    <row r="77" spans="1:10">
      <c r="A77" s="4">
        <v>45989</v>
      </c>
      <c r="B77" s="19">
        <v>247</v>
      </c>
      <c r="C77" s="20">
        <v>8122.7099609375</v>
      </c>
      <c r="D77" s="21">
        <v>56.990001678466797</v>
      </c>
      <c r="E77" s="21">
        <v>50.150001525878913</v>
      </c>
      <c r="F77" s="21">
        <v>24.70000076293945</v>
      </c>
      <c r="G77" s="21">
        <v>92.55999755859375</v>
      </c>
      <c r="H77" s="20">
        <v>6849.08984375</v>
      </c>
      <c r="I77" s="20">
        <v>23365.689453125</v>
      </c>
      <c r="J77" s="20">
        <v>576.42999267578125</v>
      </c>
    </row>
    <row r="78" spans="1:10">
      <c r="A78" s="4">
        <v>45996</v>
      </c>
      <c r="B78" s="19">
        <v>247</v>
      </c>
      <c r="C78" s="20">
        <v>8114.740234375</v>
      </c>
      <c r="D78" s="21">
        <v>57.990001678466797</v>
      </c>
      <c r="E78" s="21">
        <v>53.450000762939453</v>
      </c>
      <c r="F78" s="21">
        <v>23.389999389648441</v>
      </c>
      <c r="G78" s="21">
        <v>92.370002746582031</v>
      </c>
      <c r="H78" s="20">
        <v>6870.39990234375</v>
      </c>
      <c r="I78" s="20">
        <v>23578.130859375</v>
      </c>
      <c r="J78" s="20">
        <v>578.77001953125</v>
      </c>
    </row>
    <row r="79" spans="1:10">
      <c r="A79" s="4">
        <v>46003</v>
      </c>
      <c r="B79" s="19">
        <v>261</v>
      </c>
      <c r="C79" s="20">
        <v>8068.6201171875</v>
      </c>
      <c r="D79" s="21">
        <v>58.669998168945313</v>
      </c>
      <c r="E79" s="21">
        <v>54.549999237060547</v>
      </c>
      <c r="F79" s="21">
        <v>25.469999313354489</v>
      </c>
      <c r="G79" s="21">
        <v>87.330001831054688</v>
      </c>
      <c r="H79" s="20">
        <v>6827.41015625</v>
      </c>
      <c r="I79" s="20">
        <v>23195.169921875</v>
      </c>
      <c r="J79" s="20">
        <v>578.239990234375</v>
      </c>
    </row>
    <row r="80" spans="1:10">
      <c r="A80" s="4">
        <v>46010</v>
      </c>
      <c r="B80" s="19">
        <v>244</v>
      </c>
      <c r="C80" s="20">
        <v>8151.3798828125</v>
      </c>
      <c r="D80" s="21">
        <v>57.840000152587891</v>
      </c>
      <c r="E80" s="21">
        <v>55.979999542236328</v>
      </c>
      <c r="F80" s="21">
        <v>25.680000305175781</v>
      </c>
      <c r="G80" s="21">
        <v>87.930000305175781</v>
      </c>
      <c r="H80" s="20">
        <v>6834.5</v>
      </c>
      <c r="I80" s="20">
        <v>23307.619140625</v>
      </c>
      <c r="J80" s="20">
        <v>587.5</v>
      </c>
    </row>
    <row r="81" spans="1:10">
      <c r="A81" s="4">
        <v>46017</v>
      </c>
      <c r="B81" s="19">
        <v>239</v>
      </c>
      <c r="C81" s="20">
        <v>8103.580078125</v>
      </c>
      <c r="D81" s="21">
        <v>57.759998321533203</v>
      </c>
      <c r="E81" s="21">
        <v>55.229999542236328</v>
      </c>
      <c r="F81" s="21">
        <v>26.29000091552734</v>
      </c>
      <c r="G81" s="21">
        <v>87.449996948242188</v>
      </c>
      <c r="H81" s="20">
        <v>6929.93994140625</v>
      </c>
      <c r="I81" s="20">
        <v>23593.099609375</v>
      </c>
      <c r="J81" s="20">
        <v>588.72998046875</v>
      </c>
    </row>
    <row r="82" spans="1:10">
      <c r="A82" s="4">
        <v>46024</v>
      </c>
      <c r="B82" s="19">
        <v>243</v>
      </c>
      <c r="C82" s="20">
        <v>8195.2099609375</v>
      </c>
      <c r="D82" s="21">
        <v>53.779998779296882</v>
      </c>
      <c r="E82" s="21">
        <v>50.560001373291023</v>
      </c>
      <c r="F82" s="21">
        <v>24.64999961853027</v>
      </c>
      <c r="G82" s="21">
        <v>82.970001220703125</v>
      </c>
      <c r="H82" s="20">
        <v>6858.47021484375</v>
      </c>
      <c r="I82" s="20">
        <v>23235.630859375</v>
      </c>
      <c r="J82" s="20">
        <v>592.780029296875</v>
      </c>
    </row>
    <row r="83" spans="1:10">
      <c r="A83" s="4">
        <v>46031</v>
      </c>
      <c r="B83" s="19">
        <v>230</v>
      </c>
      <c r="C83" s="20">
        <v>8362.08984375</v>
      </c>
      <c r="D83" s="21">
        <v>56.590000152587891</v>
      </c>
      <c r="E83" s="21">
        <v>54.479999542236328</v>
      </c>
      <c r="F83" s="21">
        <v>25.60000038146973</v>
      </c>
      <c r="G83" s="21">
        <v>89.510002136230469</v>
      </c>
      <c r="H83" s="20">
        <v>6966.27978515625</v>
      </c>
      <c r="I83" s="20">
        <v>23671.349609375</v>
      </c>
      <c r="J83" s="20">
        <v>609.66998291015625</v>
      </c>
    </row>
    <row r="84" spans="1:10">
      <c r="A84" s="4">
        <v>46038</v>
      </c>
      <c r="B84" s="19">
        <v>213</v>
      </c>
      <c r="C84" s="20">
        <v>8258.9404296875</v>
      </c>
      <c r="D84" s="21">
        <v>52.650001525878913</v>
      </c>
      <c r="E84" s="21">
        <v>46.599998474121087</v>
      </c>
      <c r="F84" s="21">
        <v>24.25</v>
      </c>
      <c r="G84" s="21">
        <v>85.720001220703125</v>
      </c>
      <c r="H84" s="20">
        <v>6940.009765625</v>
      </c>
      <c r="I84" s="20">
        <v>23515.390625</v>
      </c>
      <c r="J84" s="20">
        <v>614.3800048828125</v>
      </c>
    </row>
    <row r="85" spans="1:10">
      <c r="A85" s="4">
        <v>46045</v>
      </c>
      <c r="B85" s="19">
        <v>182</v>
      </c>
      <c r="C85" s="20">
        <v>8143.0498046875</v>
      </c>
      <c r="D85" s="21">
        <v>53.080001831054688</v>
      </c>
      <c r="E85" s="21">
        <v>48.450000762939453</v>
      </c>
      <c r="F85" s="21">
        <v>24.29999923706055</v>
      </c>
      <c r="G85" s="21">
        <v>81.44000244140625</v>
      </c>
      <c r="H85" s="20">
        <v>6915.60986328125</v>
      </c>
      <c r="I85" s="20">
        <v>23501.240234375</v>
      </c>
      <c r="J85" s="20">
        <v>608.34002685546875</v>
      </c>
    </row>
    <row r="86" spans="1:10">
      <c r="A86" s="4">
        <v>46052</v>
      </c>
      <c r="B86" s="19">
        <v>155.5</v>
      </c>
      <c r="C86" s="20">
        <v>8126.52978515625</v>
      </c>
      <c r="D86" s="21">
        <v>46.470001220703118</v>
      </c>
      <c r="E86" s="21">
        <v>43.169998168945313</v>
      </c>
      <c r="F86" s="21">
        <v>21.35000038146973</v>
      </c>
      <c r="G86" s="21">
        <v>77.019996643066406</v>
      </c>
      <c r="H86" s="20">
        <v>6939.02978515625</v>
      </c>
      <c r="I86" s="20">
        <v>23461.8203125</v>
      </c>
      <c r="J86" s="20">
        <v>611</v>
      </c>
    </row>
    <row r="87" spans="1:10">
      <c r="A87" s="4">
        <v>46059</v>
      </c>
      <c r="B87" s="19">
        <v>141</v>
      </c>
      <c r="C87" s="20">
        <v>8273.83984375</v>
      </c>
      <c r="D87" s="21">
        <v>43.849998474121087</v>
      </c>
      <c r="E87" s="21">
        <v>48.939998626708977</v>
      </c>
      <c r="F87" s="21">
        <v>18.14999961853027</v>
      </c>
      <c r="G87" s="21">
        <v>69.849998474121094</v>
      </c>
      <c r="H87" s="20">
        <v>6932.2998046875</v>
      </c>
      <c r="I87" s="20">
        <v>23031.2109375</v>
      </c>
      <c r="J87" s="20">
        <v>617.1199951171875</v>
      </c>
    </row>
    <row r="88" spans="1:10">
      <c r="A88" s="4">
        <v>46066</v>
      </c>
      <c r="B88" s="19">
        <v>124</v>
      </c>
      <c r="C88" s="20">
        <v>8311.740234375</v>
      </c>
      <c r="D88" s="21">
        <v>38.610000610351563</v>
      </c>
      <c r="E88" s="21">
        <v>46.990001678466797</v>
      </c>
      <c r="F88" s="21">
        <v>16.139999389648441</v>
      </c>
      <c r="G88" s="21">
        <v>61.930000305175781</v>
      </c>
      <c r="H88" s="20">
        <v>6836.169921875</v>
      </c>
      <c r="I88" s="20">
        <v>22546.669921875</v>
      </c>
      <c r="J88" s="20">
        <v>617.70001220703125</v>
      </c>
    </row>
    <row r="89" spans="1:10">
      <c r="A89" s="4">
        <v>46073</v>
      </c>
      <c r="B89" s="19">
        <v>119.5</v>
      </c>
      <c r="C89" s="20">
        <v>8515.490234375</v>
      </c>
      <c r="D89" s="21">
        <v>36.150001525878913</v>
      </c>
      <c r="E89" s="21">
        <v>46.200000762939453</v>
      </c>
      <c r="F89" s="21">
        <v>15.61999988555908</v>
      </c>
      <c r="G89" s="21">
        <v>61.430000305175781</v>
      </c>
      <c r="H89" s="20">
        <v>6909.509765625</v>
      </c>
      <c r="I89" s="20">
        <v>22886.0703125</v>
      </c>
      <c r="J89" s="20">
        <v>630.55999755859375</v>
      </c>
    </row>
    <row r="90" spans="1:10">
      <c r="A90" s="4">
        <v>46080</v>
      </c>
      <c r="B90" s="19">
        <v>115</v>
      </c>
      <c r="C90" s="20">
        <v>8580.75</v>
      </c>
      <c r="D90" s="21">
        <v>35.25</v>
      </c>
      <c r="E90" s="21">
        <v>44.509998321533203</v>
      </c>
      <c r="F90" s="21">
        <v>16.139999389648441</v>
      </c>
      <c r="G90" s="21">
        <v>61.580001831054688</v>
      </c>
      <c r="H90" s="20">
        <v>6878.8798828125</v>
      </c>
      <c r="I90" s="20">
        <v>22668.2109375</v>
      </c>
      <c r="J90" s="20">
        <v>633.8499755859375</v>
      </c>
    </row>
    <row r="91" spans="1:10">
      <c r="A91" s="4">
        <v>46087</v>
      </c>
      <c r="B91" s="19">
        <v>131</v>
      </c>
      <c r="C91" s="20">
        <v>7993.490234375</v>
      </c>
      <c r="D91" s="21">
        <v>37.369998931884773</v>
      </c>
      <c r="E91" s="21">
        <v>45.060001373291023</v>
      </c>
      <c r="F91" s="21">
        <v>16.819999694824219</v>
      </c>
      <c r="G91" s="21">
        <v>64.900001525878906</v>
      </c>
      <c r="H91" s="20">
        <v>6740.02001953125</v>
      </c>
      <c r="I91" s="20">
        <v>22387.6796875</v>
      </c>
      <c r="J91" s="20">
        <v>598.69000244140625</v>
      </c>
    </row>
    <row r="92" spans="1:10">
      <c r="A92" s="4">
        <v>46094</v>
      </c>
      <c r="B92" s="19">
        <v>141</v>
      </c>
      <c r="C92" s="20">
        <v>7911.52978515625</v>
      </c>
      <c r="D92" s="21">
        <v>36.880001068115227</v>
      </c>
      <c r="E92" s="21">
        <v>39.790000915527337</v>
      </c>
      <c r="F92" s="21">
        <v>15.069999694824221</v>
      </c>
      <c r="G92" s="21">
        <v>61.590000152587891</v>
      </c>
      <c r="H92" s="20">
        <v>6632.18994140625</v>
      </c>
      <c r="I92" s="20">
        <v>22105.359375</v>
      </c>
      <c r="J92" s="20">
        <v>595.8499755859375</v>
      </c>
    </row>
    <row r="93" spans="1:10">
      <c r="A93" s="4">
        <v>46101</v>
      </c>
      <c r="B93" s="19">
        <v>140.5</v>
      </c>
      <c r="C93" s="20">
        <v>7665.6201171875</v>
      </c>
      <c r="D93" s="21">
        <v>39.110000610351563</v>
      </c>
      <c r="E93" s="21">
        <v>39.849998474121087</v>
      </c>
      <c r="F93" s="21">
        <v>15.19999980926514</v>
      </c>
      <c r="G93" s="21">
        <v>60.740001678466797</v>
      </c>
      <c r="H93" s="20">
        <v>6506.47998046875</v>
      </c>
      <c r="I93" s="20">
        <v>21647.609375</v>
      </c>
      <c r="J93" s="20">
        <v>573.280029296875</v>
      </c>
    </row>
    <row r="94" spans="1:10">
      <c r="A94" s="4">
        <v>46108</v>
      </c>
      <c r="B94" s="19">
        <v>133</v>
      </c>
      <c r="C94" s="20">
        <v>7701.9501953125</v>
      </c>
      <c r="D94" s="21">
        <v>36.049999237060547</v>
      </c>
      <c r="E94" s="21">
        <v>37</v>
      </c>
      <c r="F94" s="21">
        <v>14.010000228881839</v>
      </c>
      <c r="G94" s="21">
        <v>57.830001831054688</v>
      </c>
      <c r="H94" s="20">
        <v>6368.85009765625</v>
      </c>
      <c r="I94" s="20">
        <v>20948.359375</v>
      </c>
      <c r="J94" s="20">
        <v>575.29998779296875</v>
      </c>
    </row>
    <row r="95" spans="1:10">
      <c r="A95" s="4">
        <v>46115</v>
      </c>
      <c r="B95" s="19">
        <v>151</v>
      </c>
      <c r="C95" s="20">
        <v>7962.39013671875</v>
      </c>
      <c r="D95" s="21">
        <v>36.290000915527337</v>
      </c>
      <c r="E95" s="21">
        <v>38.630001068115227</v>
      </c>
      <c r="F95" s="21">
        <v>17.10000038146973</v>
      </c>
      <c r="G95" s="21">
        <v>60</v>
      </c>
      <c r="H95" s="20">
        <v>6582.68994140625</v>
      </c>
      <c r="I95" s="20">
        <v>21879.1796875</v>
      </c>
      <c r="J95" s="20">
        <v>596.6300048828125</v>
      </c>
    </row>
    <row r="96" spans="1:10">
      <c r="A96" s="4">
        <v>46122</v>
      </c>
      <c r="B96" s="19">
        <v>161</v>
      </c>
      <c r="C96" s="20">
        <v>8259.599609375</v>
      </c>
      <c r="D96" s="21">
        <v>30.29000091552734</v>
      </c>
      <c r="E96" s="21">
        <v>34.709999084472663</v>
      </c>
      <c r="F96" s="21">
        <v>17.45000076293945</v>
      </c>
      <c r="G96" s="21">
        <v>52.360000610351563</v>
      </c>
      <c r="H96" s="20">
        <v>6816.89013671875</v>
      </c>
      <c r="I96" s="20">
        <v>22902.890625</v>
      </c>
      <c r="J96" s="20">
        <v>614.84002685546875</v>
      </c>
    </row>
    <row r="97" spans="1:10">
      <c r="A97" s="4">
        <v>46129</v>
      </c>
      <c r="B97" s="19">
        <v>154</v>
      </c>
      <c r="C97" s="20">
        <v>8425.1298828125</v>
      </c>
      <c r="D97" s="21">
        <v>31.510000228881839</v>
      </c>
      <c r="E97" s="21">
        <v>38.810001373291023</v>
      </c>
      <c r="F97" s="21">
        <v>18.45999908447266</v>
      </c>
      <c r="G97" s="21">
        <v>57.340000152587891</v>
      </c>
      <c r="H97" s="20">
        <v>7126.06005859375</v>
      </c>
      <c r="I97" s="20">
        <v>24468.48046875</v>
      </c>
      <c r="J97" s="20">
        <v>626.58001708984375</v>
      </c>
    </row>
    <row r="98" spans="1:10">
      <c r="A98" s="4">
        <v>46136</v>
      </c>
      <c r="B98" s="19">
        <v>168.80000305175781</v>
      </c>
      <c r="C98" s="20">
        <v>8157.81982421875</v>
      </c>
      <c r="D98" s="21">
        <v>30.639999389648441</v>
      </c>
      <c r="E98" s="21">
        <v>37.189998626708977</v>
      </c>
      <c r="F98" s="21">
        <v>17.680000305175781</v>
      </c>
      <c r="G98" s="21">
        <v>53.150001525878913</v>
      </c>
      <c r="H98" s="20">
        <v>7165.080078125</v>
      </c>
      <c r="I98" s="20">
        <v>24836.599609375</v>
      </c>
      <c r="J98" s="20">
        <v>610.6500244140625</v>
      </c>
    </row>
    <row r="99" spans="1:10">
      <c r="A99" s="4">
        <v>46143</v>
      </c>
      <c r="B99" s="19">
        <v>169</v>
      </c>
      <c r="C99" s="20">
        <v>8114.83984375</v>
      </c>
      <c r="D99" s="21">
        <v>33.909999847412109</v>
      </c>
      <c r="E99" s="21">
        <v>39.069999694824219</v>
      </c>
      <c r="F99" s="21">
        <v>18.129999160766602</v>
      </c>
      <c r="G99" s="21">
        <v>54.759998321533203</v>
      </c>
      <c r="H99" s="20">
        <v>7230.1201171875</v>
      </c>
      <c r="I99" s="20">
        <v>25114.439453125</v>
      </c>
      <c r="J99" s="20">
        <v>611.280029296875</v>
      </c>
    </row>
    <row r="100" spans="1:10">
      <c r="A100" s="4">
        <v>46150</v>
      </c>
      <c r="B100" s="19">
        <v>160.80000305175781</v>
      </c>
      <c r="C100" s="20">
        <v>8112.56982421875</v>
      </c>
      <c r="D100" s="21">
        <v>30.629999160766602</v>
      </c>
      <c r="E100" s="21">
        <v>41.830001831054688</v>
      </c>
      <c r="F100" s="21">
        <v>17.75</v>
      </c>
      <c r="G100" s="21">
        <v>51.290000915527337</v>
      </c>
      <c r="H100" s="20">
        <v>7398.93017578125</v>
      </c>
      <c r="I100" s="20">
        <v>26247.080078125</v>
      </c>
      <c r="J100" s="20">
        <v>612.1400146484375</v>
      </c>
    </row>
    <row r="101" spans="1:10">
      <c r="A101" s="4">
        <v>46157</v>
      </c>
      <c r="B101" s="19">
        <v>165</v>
      </c>
      <c r="C101" s="20">
        <v>7952.5498046875</v>
      </c>
      <c r="D101" s="21">
        <v>27.25</v>
      </c>
      <c r="E101" s="21">
        <v>40.069999694824219</v>
      </c>
      <c r="F101" s="21">
        <v>14.97000026702881</v>
      </c>
      <c r="G101" s="21">
        <v>47.400001525878913</v>
      </c>
      <c r="H101" s="20">
        <v>7408.5</v>
      </c>
      <c r="I101" s="20">
        <v>26225.140625</v>
      </c>
      <c r="J101" s="20">
        <v>606.91998291015625</v>
      </c>
    </row>
    <row r="102" spans="1:10">
      <c r="A102" s="4">
        <v>46164</v>
      </c>
      <c r="B102" s="19">
        <v>171.3999938964844</v>
      </c>
      <c r="C102" s="20">
        <v>8115.75</v>
      </c>
      <c r="D102" s="21">
        <v>28.89999961853027</v>
      </c>
      <c r="E102" s="21">
        <v>36.139999389648438</v>
      </c>
      <c r="F102" s="21">
        <v>16.069999694824219</v>
      </c>
      <c r="G102" s="21">
        <v>50.310001373291023</v>
      </c>
      <c r="H102" s="20">
        <v>7473.47021484375</v>
      </c>
      <c r="I102" s="20">
        <v>26343.970703125</v>
      </c>
      <c r="J102" s="20">
        <v>625.1199951171875</v>
      </c>
    </row>
    <row r="103" spans="1:10">
      <c r="A103" s="4">
        <v>46171</v>
      </c>
      <c r="B103" s="19">
        <v>167.80000305175781</v>
      </c>
      <c r="C103" s="20">
        <v>8183.33984375</v>
      </c>
      <c r="D103" s="21">
        <v>29.39999961853027</v>
      </c>
      <c r="E103" s="21">
        <v>37.020000457763672</v>
      </c>
      <c r="F103" s="21">
        <v>16.079999923706051</v>
      </c>
      <c r="G103" s="21">
        <v>49.779998779296882</v>
      </c>
      <c r="H103" s="20">
        <v>7580.06005859375</v>
      </c>
      <c r="I103" s="20">
        <v>26972.619140625</v>
      </c>
      <c r="J103" s="20">
        <v>626</v>
      </c>
    </row>
    <row r="104" spans="1:10">
      <c r="A104" s="4">
        <v>46178</v>
      </c>
      <c r="B104" s="19">
        <v>172</v>
      </c>
      <c r="C104" s="20">
        <v>8218.240234375</v>
      </c>
      <c r="D104" s="21">
        <v>28.659999847412109</v>
      </c>
      <c r="E104" s="21">
        <v>35.970001220703118</v>
      </c>
      <c r="F104" s="21">
        <v>14.920000076293951</v>
      </c>
      <c r="G104" s="21">
        <v>49.130001068115227</v>
      </c>
      <c r="H104" s="20">
        <v>7383.740234375</v>
      </c>
      <c r="I104" s="20">
        <v>25709.4296875</v>
      </c>
      <c r="J104" s="20">
        <v>622.65997314453125</v>
      </c>
    </row>
    <row r="105" spans="1:10">
      <c r="A105" s="4">
        <v>46185</v>
      </c>
      <c r="B105" s="19">
        <v>165.19999694824219</v>
      </c>
      <c r="C105" s="20">
        <v>8350.8701171875</v>
      </c>
      <c r="D105" s="21">
        <v>28.729999542236332</v>
      </c>
      <c r="E105" s="21">
        <v>33.180000305175781</v>
      </c>
      <c r="F105" s="21">
        <v>15.319999694824221</v>
      </c>
      <c r="G105" s="21">
        <v>48.930000305175781</v>
      </c>
      <c r="H105" s="20">
        <v>7431.4599609375</v>
      </c>
      <c r="I105" s="20">
        <v>25888.83984375</v>
      </c>
      <c r="J105" s="20">
        <v>633.21002197265625</v>
      </c>
    </row>
    <row r="106" spans="1:10">
      <c r="A106" s="4">
        <v>46192</v>
      </c>
      <c r="B106" s="19">
        <v>160</v>
      </c>
      <c r="C106" s="20">
        <v>8421.1396484375</v>
      </c>
      <c r="D106" s="21">
        <v>26.770000457763668</v>
      </c>
      <c r="E106" s="21">
        <v>32.470001220703118</v>
      </c>
      <c r="F106" s="21">
        <v>14.80000019073486</v>
      </c>
      <c r="G106" s="21">
        <v>47.369998931884773</v>
      </c>
      <c r="H106" s="20">
        <v>7500.580078125</v>
      </c>
      <c r="I106" s="20">
        <v>26517.9296875</v>
      </c>
      <c r="J106" s="20">
        <v>635.6099853515625</v>
      </c>
    </row>
    <row r="107" spans="1:10">
      <c r="A107" s="4">
        <v>46199</v>
      </c>
      <c r="B107" s="19">
        <v>173</v>
      </c>
      <c r="C107" s="20">
        <v>8384.8701171875</v>
      </c>
      <c r="D107" s="21">
        <v>28.340000152587891</v>
      </c>
      <c r="E107" s="21">
        <v>35.520000457763672</v>
      </c>
      <c r="F107" s="21">
        <v>15.63000011444092</v>
      </c>
      <c r="G107" s="21">
        <v>49.049999237060547</v>
      </c>
      <c r="H107" s="20">
        <v>7354.02001953125</v>
      </c>
      <c r="I107" s="20">
        <v>25297.619140625</v>
      </c>
      <c r="J107" s="20">
        <v>635.8800048828125</v>
      </c>
    </row>
    <row r="108" spans="1:10">
      <c r="A108" s="4">
        <v>46206</v>
      </c>
      <c r="B108" s="19">
        <v>179.19999694824219</v>
      </c>
      <c r="C108" s="20">
        <v>8508.0703125</v>
      </c>
      <c r="D108" s="21">
        <v>29.879999160766602</v>
      </c>
      <c r="E108" s="21">
        <v>40.479999542236328</v>
      </c>
      <c r="F108" s="21">
        <v>17.75</v>
      </c>
      <c r="G108" s="21">
        <v>51.930000305175781</v>
      </c>
      <c r="H108" s="20">
        <v>7483.240234375</v>
      </c>
      <c r="I108" s="20">
        <v>25832.669921875</v>
      </c>
      <c r="J108" s="20">
        <v>652.77001953125</v>
      </c>
    </row>
    <row r="109" spans="1:10">
      <c r="A109" s="4">
        <v>46213</v>
      </c>
      <c r="B109" s="19">
        <v>175.19999694824219</v>
      </c>
      <c r="C109" s="20">
        <v>8338.9697265625</v>
      </c>
      <c r="D109" s="21">
        <v>29.129999160766602</v>
      </c>
      <c r="E109" s="21">
        <v>41.360000610351563</v>
      </c>
      <c r="F109" s="21">
        <v>16.989999771118161</v>
      </c>
      <c r="G109" s="21">
        <v>52.169998168945313</v>
      </c>
      <c r="H109" s="20">
        <v>7575.39013671875</v>
      </c>
      <c r="I109" s="20">
        <v>26281.609375</v>
      </c>
      <c r="J109" s="20">
        <v>641.0999755859375</v>
      </c>
    </row>
  </sheetData>
  <mergeCells count="2">
    <mergeCell ref="A1:J1"/>
    <mergeCell ref="A2:J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09"/>
  <sheetViews>
    <sheetView showGridLines="0" workbookViewId="0"/>
  </sheetViews>
  <sheetFormatPr defaultRowHeight="14.25"/>
  <cols>
    <col min="1" max="10" width="14" customWidth="1"/>
  </cols>
  <sheetData>
    <row r="1" spans="1:10" ht="27.95" customHeight="1">
      <c r="A1" s="52" t="s">
        <v>96</v>
      </c>
      <c r="B1" s="51"/>
      <c r="C1" s="51"/>
      <c r="D1" s="51"/>
      <c r="E1" s="51"/>
      <c r="F1" s="51"/>
      <c r="G1" s="51"/>
      <c r="H1" s="51"/>
      <c r="I1" s="51"/>
      <c r="J1" s="51"/>
    </row>
    <row r="2" spans="1:10">
      <c r="A2" s="50" t="s">
        <v>97</v>
      </c>
      <c r="B2" s="51"/>
      <c r="C2" s="51"/>
      <c r="D2" s="51"/>
      <c r="E2" s="51"/>
      <c r="F2" s="51"/>
      <c r="G2" s="51"/>
      <c r="H2" s="51"/>
      <c r="I2" s="51"/>
      <c r="J2" s="51"/>
    </row>
    <row r="4" spans="1:10" ht="27.95" customHeight="1">
      <c r="A4" s="1" t="s">
        <v>88</v>
      </c>
      <c r="B4" s="2" t="s">
        <v>89</v>
      </c>
      <c r="C4" s="2" t="s">
        <v>54</v>
      </c>
      <c r="D4" s="2" t="s">
        <v>90</v>
      </c>
      <c r="E4" s="2" t="s">
        <v>91</v>
      </c>
      <c r="F4" s="2" t="s">
        <v>92</v>
      </c>
      <c r="G4" s="2" t="s">
        <v>93</v>
      </c>
      <c r="H4" s="2" t="s">
        <v>66</v>
      </c>
      <c r="I4" s="2" t="s">
        <v>94</v>
      </c>
      <c r="J4" s="3" t="s">
        <v>95</v>
      </c>
    </row>
    <row r="5" spans="1:10">
      <c r="A5" s="22" t="s">
        <v>98</v>
      </c>
    </row>
    <row r="6" spans="1:10">
      <c r="A6" s="4">
        <v>45492</v>
      </c>
      <c r="B6" s="23">
        <f>LN('Cours Hebdo'!B6/'Cours Hebdo'!B5)</f>
        <v>2.8170876966696224E-2</v>
      </c>
      <c r="C6" s="23">
        <f>LN('Cours Hebdo'!C6/'Cours Hebdo'!C5)</f>
        <v>-2.4878640341524923E-2</v>
      </c>
      <c r="D6" s="23">
        <f>LN('Cours Hebdo'!D6/'Cours Hebdo'!D5)</f>
        <v>-2.5750709320154452E-2</v>
      </c>
      <c r="E6" s="23">
        <f>LN('Cours Hebdo'!E6/'Cours Hebdo'!E5)</f>
        <v>4.4824941032736189E-2</v>
      </c>
      <c r="F6" s="23">
        <f>LN('Cours Hebdo'!F6/'Cours Hebdo'!F5)</f>
        <v>1.9577478146799297E-2</v>
      </c>
      <c r="G6" s="23">
        <f>LN('Cours Hebdo'!G6/'Cours Hebdo'!G5)</f>
        <v>-3.0599375753974586E-2</v>
      </c>
      <c r="H6" s="23">
        <f>LN('Cours Hebdo'!H6/'Cours Hebdo'!H5)</f>
        <v>-1.9847166500595655E-2</v>
      </c>
      <c r="I6" s="23">
        <f>LN('Cours Hebdo'!I6/'Cours Hebdo'!I5)</f>
        <v>-3.718089396484895E-2</v>
      </c>
      <c r="J6" s="23">
        <f>LN('Cours Hebdo'!J6/'Cours Hebdo'!J5)</f>
        <v>-2.7174831908494991E-2</v>
      </c>
    </row>
    <row r="7" spans="1:10">
      <c r="A7" s="4">
        <v>45499</v>
      </c>
      <c r="B7" s="23">
        <f>LN('Cours Hebdo'!B7/'Cours Hebdo'!B6)</f>
        <v>7.4901308173117701E-2</v>
      </c>
      <c r="C7" s="23">
        <f>LN('Cours Hebdo'!C7/'Cours Hebdo'!C6)</f>
        <v>-2.2375268143196491E-3</v>
      </c>
      <c r="D7" s="23">
        <f>LN('Cours Hebdo'!D7/'Cours Hebdo'!D6)</f>
        <v>2.2201974123074262E-2</v>
      </c>
      <c r="E7" s="23">
        <f>LN('Cours Hebdo'!E7/'Cours Hebdo'!E6)</f>
        <v>-1.4656383388881195E-2</v>
      </c>
      <c r="F7" s="23">
        <f>LN('Cours Hebdo'!F7/'Cours Hebdo'!F6)</f>
        <v>4.7628090599896505E-2</v>
      </c>
      <c r="G7" s="23">
        <f>LN('Cours Hebdo'!G7/'Cours Hebdo'!G6)</f>
        <v>3.3152213068613906E-2</v>
      </c>
      <c r="H7" s="23">
        <f>LN('Cours Hebdo'!H7/'Cours Hebdo'!H6)</f>
        <v>-8.3728112807650041E-3</v>
      </c>
      <c r="I7" s="23">
        <f>LN('Cours Hebdo'!I7/'Cours Hebdo'!I6)</f>
        <v>-2.1038854040007146E-2</v>
      </c>
      <c r="J7" s="23">
        <f>LN('Cours Hebdo'!J7/'Cours Hebdo'!J6)</f>
        <v>5.474894435584376E-3</v>
      </c>
    </row>
    <row r="8" spans="1:10">
      <c r="A8" s="4">
        <v>45506</v>
      </c>
      <c r="B8" s="23">
        <f>LN('Cours Hebdo'!B8/'Cours Hebdo'!B7)</f>
        <v>-7.7620053354891892E-3</v>
      </c>
      <c r="C8" s="23">
        <f>LN('Cours Hebdo'!C8/'Cours Hebdo'!C7)</f>
        <v>-3.6007916126300894E-2</v>
      </c>
      <c r="D8" s="23">
        <f>LN('Cours Hebdo'!D8/'Cours Hebdo'!D7)</f>
        <v>-4.8194357069484245E-2</v>
      </c>
      <c r="E8" s="23">
        <f>LN('Cours Hebdo'!E8/'Cours Hebdo'!E7)</f>
        <v>-0.12183726431025318</v>
      </c>
      <c r="F8" s="23">
        <f>LN('Cours Hebdo'!F8/'Cours Hebdo'!F7)</f>
        <v>-6.433977628638847E-2</v>
      </c>
      <c r="G8" s="23">
        <f>LN('Cours Hebdo'!G8/'Cours Hebdo'!G7)</f>
        <v>-3.1765934715724482E-2</v>
      </c>
      <c r="H8" s="23">
        <f>LN('Cours Hebdo'!H8/'Cours Hebdo'!H7)</f>
        <v>-2.0830584488164793E-2</v>
      </c>
      <c r="I8" s="23">
        <f>LN('Cours Hebdo'!I8/'Cours Hebdo'!I7)</f>
        <v>-3.4087791166137277E-2</v>
      </c>
      <c r="J8" s="23">
        <f>LN('Cours Hebdo'!J8/'Cours Hebdo'!J7)</f>
        <v>-2.9645600466095625E-2</v>
      </c>
    </row>
    <row r="9" spans="1:10">
      <c r="A9" s="4">
        <v>45513</v>
      </c>
      <c r="B9" s="23">
        <f>LN('Cours Hebdo'!B9/'Cours Hebdo'!B8)</f>
        <v>5.3109825313948332E-2</v>
      </c>
      <c r="C9" s="23">
        <f>LN('Cours Hebdo'!C9/'Cours Hebdo'!C8)</f>
        <v>2.4667084374126263E-3</v>
      </c>
      <c r="D9" s="23">
        <f>LN('Cours Hebdo'!D9/'Cours Hebdo'!D8)</f>
        <v>0.12543418613506527</v>
      </c>
      <c r="E9" s="23">
        <f>LN('Cours Hebdo'!E9/'Cours Hebdo'!E8)</f>
        <v>3.6281796412268052E-3</v>
      </c>
      <c r="F9" s="23">
        <f>LN('Cours Hebdo'!F9/'Cours Hebdo'!F8)</f>
        <v>2.0456975195545041E-2</v>
      </c>
      <c r="G9" s="23">
        <f>LN('Cours Hebdo'!G9/'Cours Hebdo'!G8)</f>
        <v>3.3107038630352477E-2</v>
      </c>
      <c r="H9" s="23">
        <f>LN('Cours Hebdo'!H9/'Cours Hebdo'!H8)</f>
        <v>-4.4896926228238664E-4</v>
      </c>
      <c r="I9" s="23">
        <f>LN('Cours Hebdo'!I9/'Cours Hebdo'!I8)</f>
        <v>-1.8411717660567677E-3</v>
      </c>
      <c r="J9" s="23">
        <f>LN('Cours Hebdo'!J9/'Cours Hebdo'!J8)</f>
        <v>2.6879506001855828E-3</v>
      </c>
    </row>
    <row r="10" spans="1:10">
      <c r="A10" s="4">
        <v>45520</v>
      </c>
      <c r="B10" s="23">
        <f>LN('Cours Hebdo'!B10/'Cours Hebdo'!B9)</f>
        <v>9.8040000966208348E-3</v>
      </c>
      <c r="C10" s="23">
        <f>LN('Cours Hebdo'!C10/'Cours Hebdo'!C9)</f>
        <v>2.4457393924049615E-2</v>
      </c>
      <c r="D10" s="23">
        <f>LN('Cours Hebdo'!D10/'Cours Hebdo'!D9)</f>
        <v>-1.9375800081988038E-3</v>
      </c>
      <c r="E10" s="23">
        <f>LN('Cours Hebdo'!E10/'Cours Hebdo'!E9)</f>
        <v>4.5396100927299378E-2</v>
      </c>
      <c r="F10" s="23">
        <f>LN('Cours Hebdo'!F10/'Cours Hebdo'!F9)</f>
        <v>6.4538617693382136E-2</v>
      </c>
      <c r="G10" s="23">
        <f>LN('Cours Hebdo'!G10/'Cours Hebdo'!G9)</f>
        <v>4.6861003925631972E-2</v>
      </c>
      <c r="H10" s="23">
        <f>LN('Cours Hebdo'!H10/'Cours Hebdo'!H9)</f>
        <v>3.8558995331668955E-2</v>
      </c>
      <c r="I10" s="23">
        <f>LN('Cours Hebdo'!I10/'Cours Hebdo'!I9)</f>
        <v>5.1581923968714555E-2</v>
      </c>
      <c r="J10" s="23">
        <f>LN('Cours Hebdo'!J10/'Cours Hebdo'!J9)</f>
        <v>2.4263063076485923E-2</v>
      </c>
    </row>
    <row r="11" spans="1:10">
      <c r="A11" s="4">
        <v>45527</v>
      </c>
      <c r="B11" s="23">
        <f>LN('Cours Hebdo'!B11/'Cours Hebdo'!B10)</f>
        <v>9.3090423066012035E-2</v>
      </c>
      <c r="C11" s="23">
        <f>LN('Cours Hebdo'!C11/'Cours Hebdo'!C10)</f>
        <v>1.6948837883106416E-2</v>
      </c>
      <c r="D11" s="23">
        <f>LN('Cours Hebdo'!D11/'Cours Hebdo'!D10)</f>
        <v>-1.4259437223879913E-2</v>
      </c>
      <c r="E11" s="23">
        <f>LN('Cours Hebdo'!E11/'Cours Hebdo'!E10)</f>
        <v>-3.6910654784798186E-2</v>
      </c>
      <c r="F11" s="23">
        <f>LN('Cours Hebdo'!F11/'Cours Hebdo'!F10)</f>
        <v>2.1953461195231005E-2</v>
      </c>
      <c r="G11" s="23">
        <f>LN('Cours Hebdo'!G11/'Cours Hebdo'!G10)</f>
        <v>1.8246863005884791E-2</v>
      </c>
      <c r="H11" s="23">
        <f>LN('Cours Hebdo'!H11/'Cours Hebdo'!H10)</f>
        <v>1.436451006458205E-2</v>
      </c>
      <c r="I11" s="23">
        <f>LN('Cours Hebdo'!I11/'Cours Hebdo'!I10)</f>
        <v>1.3859515371921736E-2</v>
      </c>
      <c r="J11" s="23">
        <f>LN('Cours Hebdo'!J11/'Cours Hebdo'!J10)</f>
        <v>1.2976332677338566E-2</v>
      </c>
    </row>
    <row r="12" spans="1:10">
      <c r="A12" s="4">
        <v>45534</v>
      </c>
      <c r="B12" s="23">
        <f>LN('Cours Hebdo'!B12/'Cours Hebdo'!B11)</f>
        <v>-0.11778303565638351</v>
      </c>
      <c r="C12" s="23">
        <f>LN('Cours Hebdo'!C12/'Cours Hebdo'!C11)</f>
        <v>7.0897444347077423E-3</v>
      </c>
      <c r="D12" s="23">
        <f>LN('Cours Hebdo'!D12/'Cours Hebdo'!D11)</f>
        <v>-2.5504522103289056E-2</v>
      </c>
      <c r="E12" s="23">
        <f>LN('Cours Hebdo'!E12/'Cours Hebdo'!E11)</f>
        <v>0.14194543139642463</v>
      </c>
      <c r="F12" s="23">
        <f>LN('Cours Hebdo'!F12/'Cours Hebdo'!F11)</f>
        <v>-0.1554849333987178</v>
      </c>
      <c r="G12" s="23">
        <f>LN('Cours Hebdo'!G12/'Cours Hebdo'!G11)</f>
        <v>-1.8630552723882504E-2</v>
      </c>
      <c r="H12" s="23">
        <f>LN('Cours Hebdo'!H12/'Cours Hebdo'!H11)</f>
        <v>2.4443913840896188E-3</v>
      </c>
      <c r="I12" s="23">
        <f>LN('Cours Hebdo'!I12/'Cours Hebdo'!I11)</f>
        <v>-9.225321193496441E-3</v>
      </c>
      <c r="J12" s="23">
        <f>LN('Cours Hebdo'!J12/'Cours Hebdo'!J11)</f>
        <v>1.3267287454876793E-2</v>
      </c>
    </row>
    <row r="13" spans="1:10">
      <c r="A13" s="4">
        <v>45541</v>
      </c>
      <c r="B13" s="23">
        <f>LN('Cours Hebdo'!B13/'Cours Hebdo'!B12)</f>
        <v>9.950330853168092E-3</v>
      </c>
      <c r="C13" s="23">
        <f>LN('Cours Hebdo'!C13/'Cours Hebdo'!C12)</f>
        <v>-3.719920878048151E-2</v>
      </c>
      <c r="D13" s="23">
        <f>LN('Cours Hebdo'!D13/'Cours Hebdo'!D12)</f>
        <v>-3.344932978209543E-2</v>
      </c>
      <c r="E13" s="23">
        <f>LN('Cours Hebdo'!E13/'Cours Hebdo'!E12)</f>
        <v>9.1224859506832245E-3</v>
      </c>
      <c r="F13" s="23">
        <f>LN('Cours Hebdo'!F13/'Cours Hebdo'!F12)</f>
        <v>2.9995075015205323E-3</v>
      </c>
      <c r="G13" s="23">
        <f>LN('Cours Hebdo'!G13/'Cours Hebdo'!G12)</f>
        <v>-6.7194410420041553E-2</v>
      </c>
      <c r="H13" s="23">
        <f>LN('Cours Hebdo'!H13/'Cours Hebdo'!H12)</f>
        <v>-4.3415317921877306E-2</v>
      </c>
      <c r="I13" s="23">
        <f>LN('Cours Hebdo'!I13/'Cours Hebdo'!I12)</f>
        <v>-5.9474315188047994E-2</v>
      </c>
      <c r="J13" s="23">
        <f>LN('Cours Hebdo'!J13/'Cours Hebdo'!J12)</f>
        <v>-3.5850701029660363E-2</v>
      </c>
    </row>
    <row r="14" spans="1:10">
      <c r="A14" s="4">
        <v>45548</v>
      </c>
      <c r="B14" s="23">
        <f>LN('Cours Hebdo'!B14/'Cours Hebdo'!B13)</f>
        <v>-9.950330853168092E-3</v>
      </c>
      <c r="C14" s="23">
        <f>LN('Cours Hebdo'!C14/'Cours Hebdo'!C13)</f>
        <v>1.5245757169480184E-2</v>
      </c>
      <c r="D14" s="23">
        <f>LN('Cours Hebdo'!D14/'Cours Hebdo'!D13)</f>
        <v>4.2690036271652299E-2</v>
      </c>
      <c r="E14" s="23">
        <f>LN('Cours Hebdo'!E14/'Cours Hebdo'!E13)</f>
        <v>-5.891207775651186E-2</v>
      </c>
      <c r="F14" s="23">
        <f>LN('Cours Hebdo'!F14/'Cours Hebdo'!F13)</f>
        <v>-2.2208175928711278E-2</v>
      </c>
      <c r="G14" s="23">
        <f>LN('Cours Hebdo'!G14/'Cours Hebdo'!G13)</f>
        <v>2.2190154474837923E-2</v>
      </c>
      <c r="H14" s="23">
        <f>LN('Cours Hebdo'!H14/'Cours Hebdo'!H13)</f>
        <v>3.9445284454613941E-2</v>
      </c>
      <c r="I14" s="23">
        <f>LN('Cours Hebdo'!I14/'Cours Hebdo'!I13)</f>
        <v>5.7799700009139122E-2</v>
      </c>
      <c r="J14" s="23">
        <f>LN('Cours Hebdo'!J14/'Cours Hebdo'!J13)</f>
        <v>1.8367113347985076E-2</v>
      </c>
    </row>
    <row r="15" spans="1:10">
      <c r="A15" s="4">
        <v>45555</v>
      </c>
      <c r="B15" s="23">
        <f>LN('Cours Hebdo'!B15/'Cours Hebdo'!B14)</f>
        <v>6.2974799161388387E-2</v>
      </c>
      <c r="C15" s="23">
        <f>LN('Cours Hebdo'!C15/'Cours Hebdo'!C14)</f>
        <v>4.678735310531968E-3</v>
      </c>
      <c r="D15" s="23">
        <f>LN('Cours Hebdo'!D15/'Cours Hebdo'!D14)</f>
        <v>3.8636068538621199E-2</v>
      </c>
      <c r="E15" s="23">
        <f>LN('Cours Hebdo'!E15/'Cours Hebdo'!E14)</f>
        <v>4.4275829397339476E-2</v>
      </c>
      <c r="F15" s="23">
        <f>LN('Cours Hebdo'!F15/'Cours Hebdo'!F14)</f>
        <v>3.5103090874579891E-2</v>
      </c>
      <c r="G15" s="23">
        <f>LN('Cours Hebdo'!G15/'Cours Hebdo'!G14)</f>
        <v>5.7589504133456051E-2</v>
      </c>
      <c r="H15" s="23">
        <f>LN('Cours Hebdo'!H15/'Cours Hebdo'!H14)</f>
        <v>1.351114051560299E-2</v>
      </c>
      <c r="I15" s="23">
        <f>LN('Cours Hebdo'!I15/'Cours Hebdo'!I14)</f>
        <v>1.4837363145943314E-2</v>
      </c>
      <c r="J15" s="23">
        <f>LN('Cours Hebdo'!J15/'Cours Hebdo'!J14)</f>
        <v>-3.2808920925420093E-3</v>
      </c>
    </row>
    <row r="16" spans="1:10">
      <c r="A16" s="4">
        <v>45562</v>
      </c>
      <c r="B16" s="23">
        <f>LN('Cours Hebdo'!B16/'Cours Hebdo'!B15)</f>
        <v>7.2429837844814507E-2</v>
      </c>
      <c r="C16" s="23">
        <f>LN('Cours Hebdo'!C16/'Cours Hebdo'!C15)</f>
        <v>3.8132964912521453E-2</v>
      </c>
      <c r="D16" s="23">
        <f>LN('Cours Hebdo'!D16/'Cours Hebdo'!D15)</f>
        <v>1.6598663037555698E-2</v>
      </c>
      <c r="E16" s="23">
        <f>LN('Cours Hebdo'!E16/'Cours Hebdo'!E15)</f>
        <v>-2.0104884743589242E-2</v>
      </c>
      <c r="F16" s="23">
        <f>LN('Cours Hebdo'!F16/'Cours Hebdo'!F15)</f>
        <v>2.7541036402128419E-2</v>
      </c>
      <c r="G16" s="23">
        <f>LN('Cours Hebdo'!G16/'Cours Hebdo'!G15)</f>
        <v>1.6537581066346327E-2</v>
      </c>
      <c r="H16" s="23">
        <f>LN('Cours Hebdo'!H16/'Cours Hebdo'!H15)</f>
        <v>6.226921580973474E-3</v>
      </c>
      <c r="I16" s="23">
        <f>LN('Cours Hebdo'!I16/'Cours Hebdo'!I15)</f>
        <v>9.4971301535121469E-3</v>
      </c>
      <c r="J16" s="23">
        <f>LN('Cours Hebdo'!J16/'Cours Hebdo'!J15)</f>
        <v>2.6518826614228778E-2</v>
      </c>
    </row>
    <row r="17" spans="1:10">
      <c r="A17" s="4">
        <v>45569</v>
      </c>
      <c r="B17" s="23">
        <f>LN('Cours Hebdo'!B17/'Cours Hebdo'!B16)</f>
        <v>-4.4650273737738819E-2</v>
      </c>
      <c r="C17" s="23">
        <f>LN('Cours Hebdo'!C17/'Cours Hebdo'!C16)</f>
        <v>-3.2668101293157857E-2</v>
      </c>
      <c r="D17" s="23">
        <f>LN('Cours Hebdo'!D17/'Cours Hebdo'!D16)</f>
        <v>3.0926456839917876E-2</v>
      </c>
      <c r="E17" s="23">
        <f>LN('Cours Hebdo'!E17/'Cours Hebdo'!E16)</f>
        <v>4.2880762911454588E-2</v>
      </c>
      <c r="F17" s="23">
        <f>LN('Cours Hebdo'!F17/'Cours Hebdo'!F16)</f>
        <v>-1.0279615126413349E-2</v>
      </c>
      <c r="G17" s="23">
        <f>LN('Cours Hebdo'!G17/'Cours Hebdo'!G16)</f>
        <v>-9.3627794446563793E-3</v>
      </c>
      <c r="H17" s="23">
        <f>LN('Cours Hebdo'!H17/'Cours Hebdo'!H16)</f>
        <v>2.2455633357013026E-3</v>
      </c>
      <c r="I17" s="23">
        <f>LN('Cours Hebdo'!I17/'Cours Hebdo'!I16)</f>
        <v>1.0072287201820331E-3</v>
      </c>
      <c r="J17" s="23">
        <f>LN('Cours Hebdo'!J17/'Cours Hebdo'!J16)</f>
        <v>-1.8192085057552234E-2</v>
      </c>
    </row>
    <row r="18" spans="1:10">
      <c r="A18" s="4">
        <v>45576</v>
      </c>
      <c r="B18" s="23">
        <f>LN('Cours Hebdo'!B18/'Cours Hebdo'!B17)</f>
        <v>1.3605652055778678E-2</v>
      </c>
      <c r="C18" s="23">
        <f>LN('Cours Hebdo'!C18/'Cours Hebdo'!C17)</f>
        <v>4.8322958509969859E-3</v>
      </c>
      <c r="D18" s="23">
        <f>LN('Cours Hebdo'!D18/'Cours Hebdo'!D17)</f>
        <v>2.7681597521556189E-2</v>
      </c>
      <c r="E18" s="23">
        <f>LN('Cours Hebdo'!E18/'Cours Hebdo'!E17)</f>
        <v>5.5690681761630121E-3</v>
      </c>
      <c r="F18" s="23">
        <f>LN('Cours Hebdo'!F18/'Cours Hebdo'!F17)</f>
        <v>0.10823011665899721</v>
      </c>
      <c r="G18" s="23">
        <f>LN('Cours Hebdo'!G18/'Cours Hebdo'!G17)</f>
        <v>-8.0595703899131437E-3</v>
      </c>
      <c r="H18" s="23">
        <f>LN('Cours Hebdo'!H18/'Cours Hebdo'!H17)</f>
        <v>1.1060014193616243E-2</v>
      </c>
      <c r="I18" s="23">
        <f>LN('Cours Hebdo'!I18/'Cours Hebdo'!I17)</f>
        <v>1.1243835986186642E-2</v>
      </c>
      <c r="J18" s="23">
        <f>LN('Cours Hebdo'!J18/'Cours Hebdo'!J17)</f>
        <v>6.5735008695771736E-3</v>
      </c>
    </row>
    <row r="19" spans="1:10">
      <c r="A19" s="4">
        <v>45583</v>
      </c>
      <c r="B19" s="23">
        <f>LN('Cours Hebdo'!B19/'Cours Hebdo'!B18)</f>
        <v>8.9686699827603161E-3</v>
      </c>
      <c r="C19" s="23">
        <f>LN('Cours Hebdo'!C19/'Cours Hebdo'!C18)</f>
        <v>4.6290395311694675E-3</v>
      </c>
      <c r="D19" s="23">
        <f>LN('Cours Hebdo'!D19/'Cours Hebdo'!D18)</f>
        <v>5.0284566222597686E-2</v>
      </c>
      <c r="E19" s="23">
        <f>LN('Cours Hebdo'!E19/'Cours Hebdo'!E18)</f>
        <v>3.4337395076037988E-2</v>
      </c>
      <c r="F19" s="23">
        <f>LN('Cours Hebdo'!F19/'Cours Hebdo'!F18)</f>
        <v>5.8252604546090915E-2</v>
      </c>
      <c r="G19" s="23">
        <f>LN('Cours Hebdo'!G19/'Cours Hebdo'!G18)</f>
        <v>3.026194950694432E-2</v>
      </c>
      <c r="H19" s="23">
        <f>LN('Cours Hebdo'!H19/'Cours Hebdo'!H18)</f>
        <v>8.5002931340966564E-3</v>
      </c>
      <c r="I19" s="23">
        <f>LN('Cours Hebdo'!I19/'Cours Hebdo'!I18)</f>
        <v>7.9610203663715625E-3</v>
      </c>
      <c r="J19" s="23">
        <f>LN('Cours Hebdo'!J19/'Cours Hebdo'!J18)</f>
        <v>5.7499606348583067E-3</v>
      </c>
    </row>
    <row r="20" spans="1:10">
      <c r="A20" s="4">
        <v>45590</v>
      </c>
      <c r="B20" s="23">
        <f>LN('Cours Hebdo'!B20/'Cours Hebdo'!B19)</f>
        <v>1.7699577099400857E-2</v>
      </c>
      <c r="C20" s="23">
        <f>LN('Cours Hebdo'!C20/'Cours Hebdo'!C19)</f>
        <v>-1.52888824121277E-2</v>
      </c>
      <c r="D20" s="23">
        <f>LN('Cours Hebdo'!D20/'Cours Hebdo'!D19)</f>
        <v>-4.0871500068030225E-2</v>
      </c>
      <c r="E20" s="23">
        <f>LN('Cours Hebdo'!E20/'Cours Hebdo'!E19)</f>
        <v>-5.332701056351654E-2</v>
      </c>
      <c r="F20" s="23">
        <f>LN('Cours Hebdo'!F20/'Cours Hebdo'!F19)</f>
        <v>3.3600794028234328E-2</v>
      </c>
      <c r="G20" s="23">
        <f>LN('Cours Hebdo'!G20/'Cours Hebdo'!G19)</f>
        <v>-3.4189205687534044E-2</v>
      </c>
      <c r="H20" s="23">
        <f>LN('Cours Hebdo'!H20/'Cours Hebdo'!H19)</f>
        <v>-9.6892425739238848E-3</v>
      </c>
      <c r="I20" s="23">
        <f>LN('Cours Hebdo'!I20/'Cours Hebdo'!I19)</f>
        <v>1.5703887790772418E-3</v>
      </c>
      <c r="J20" s="23">
        <f>LN('Cours Hebdo'!J20/'Cours Hebdo'!J19)</f>
        <v>-1.1841473388302156E-2</v>
      </c>
    </row>
    <row r="21" spans="1:10">
      <c r="A21" s="4">
        <v>45597</v>
      </c>
      <c r="B21" s="23">
        <f>LN('Cours Hebdo'!B21/'Cours Hebdo'!B20)</f>
        <v>-3.1182927436687938E-2</v>
      </c>
      <c r="C21" s="23">
        <f>LN('Cours Hebdo'!C21/'Cours Hebdo'!C20)</f>
        <v>-1.1864666269088241E-2</v>
      </c>
      <c r="D21" s="23">
        <f>LN('Cours Hebdo'!D21/'Cours Hebdo'!D20)</f>
        <v>-1.8915649495534086E-2</v>
      </c>
      <c r="E21" s="23">
        <f>LN('Cours Hebdo'!E21/'Cours Hebdo'!E20)</f>
        <v>6.1773115567796355E-2</v>
      </c>
      <c r="F21" s="23">
        <f>LN('Cours Hebdo'!F21/'Cours Hebdo'!F20)</f>
        <v>-1.3305145070144036E-2</v>
      </c>
      <c r="G21" s="23">
        <f>LN('Cours Hebdo'!G21/'Cours Hebdo'!G20)</f>
        <v>4.938274007533508E-3</v>
      </c>
      <c r="H21" s="23">
        <f>LN('Cours Hebdo'!H21/'Cours Hebdo'!H20)</f>
        <v>-1.3750908025073685E-2</v>
      </c>
      <c r="I21" s="23">
        <f>LN('Cours Hebdo'!I21/'Cours Hebdo'!I20)</f>
        <v>-1.5163544267359996E-2</v>
      </c>
      <c r="J21" s="23">
        <f>LN('Cours Hebdo'!J21/'Cours Hebdo'!J20)</f>
        <v>-1.5363858411164026E-2</v>
      </c>
    </row>
    <row r="22" spans="1:10">
      <c r="A22" s="4">
        <v>45604</v>
      </c>
      <c r="B22" s="23">
        <f>LN('Cours Hebdo'!B22/'Cours Hebdo'!B21)</f>
        <v>2.2372297754532984E-2</v>
      </c>
      <c r="C22" s="23">
        <f>LN('Cours Hebdo'!C22/'Cours Hebdo'!C21)</f>
        <v>-9.5526890272787414E-3</v>
      </c>
      <c r="D22" s="23">
        <f>LN('Cours Hebdo'!D22/'Cours Hebdo'!D21)</f>
        <v>8.3929120650647282E-2</v>
      </c>
      <c r="E22" s="23">
        <f>LN('Cours Hebdo'!E22/'Cours Hebdo'!E21)</f>
        <v>0.28290755903159276</v>
      </c>
      <c r="F22" s="23">
        <f>LN('Cours Hebdo'!F22/'Cours Hebdo'!F21)</f>
        <v>0.13041233858639728</v>
      </c>
      <c r="G22" s="23">
        <f>LN('Cours Hebdo'!G22/'Cours Hebdo'!G21)</f>
        <v>0.17964442790733159</v>
      </c>
      <c r="H22" s="23">
        <f>LN('Cours Hebdo'!H22/'Cours Hebdo'!H21)</f>
        <v>4.5509815383273228E-2</v>
      </c>
      <c r="I22" s="23">
        <f>LN('Cours Hebdo'!I22/'Cours Hebdo'!I21)</f>
        <v>5.5807256270852375E-2</v>
      </c>
      <c r="J22" s="23">
        <f>LN('Cours Hebdo'!J22/'Cours Hebdo'!J21)</f>
        <v>-8.3929006198901202E-3</v>
      </c>
    </row>
    <row r="23" spans="1:10">
      <c r="A23" s="4">
        <v>45611</v>
      </c>
      <c r="B23" s="23">
        <f>LN('Cours Hebdo'!B23/'Cours Hebdo'!B22)</f>
        <v>8.8106296821549059E-3</v>
      </c>
      <c r="C23" s="23">
        <f>LN('Cours Hebdo'!C23/'Cours Hebdo'!C22)</f>
        <v>-9.4522366073230401E-3</v>
      </c>
      <c r="D23" s="23">
        <f>LN('Cours Hebdo'!D23/'Cours Hebdo'!D22)</f>
        <v>-1.7714326110424946E-2</v>
      </c>
      <c r="E23" s="23">
        <f>LN('Cours Hebdo'!E23/'Cours Hebdo'!E22)</f>
        <v>9.117427800812325E-2</v>
      </c>
      <c r="F23" s="23">
        <f>LN('Cours Hebdo'!F23/'Cours Hebdo'!F22)</f>
        <v>-5.5845265868220875E-2</v>
      </c>
      <c r="G23" s="23">
        <f>LN('Cours Hebdo'!G23/'Cours Hebdo'!G22)</f>
        <v>-3.7310151781887499E-2</v>
      </c>
      <c r="H23" s="23">
        <f>LN('Cours Hebdo'!H23/'Cours Hebdo'!H22)</f>
        <v>-2.1055595970877056E-2</v>
      </c>
      <c r="I23" s="23">
        <f>LN('Cours Hebdo'!I23/'Cours Hebdo'!I22)</f>
        <v>-3.1960039901178197E-2</v>
      </c>
      <c r="J23" s="23">
        <f>LN('Cours Hebdo'!J23/'Cours Hebdo'!J22)</f>
        <v>-6.9522632400841498E-3</v>
      </c>
    </row>
    <row r="24" spans="1:10">
      <c r="A24" s="4">
        <v>45618</v>
      </c>
      <c r="B24" s="23">
        <f>LN('Cours Hebdo'!B24/'Cours Hebdo'!B23)</f>
        <v>-4.3956114730381093E-3</v>
      </c>
      <c r="C24" s="23">
        <f>LN('Cours Hebdo'!C24/'Cours Hebdo'!C23)</f>
        <v>-2.0131476551611726E-3</v>
      </c>
      <c r="D24" s="23">
        <f>LN('Cours Hebdo'!D24/'Cours Hebdo'!D23)</f>
        <v>5.5583510801873355E-2</v>
      </c>
      <c r="E24" s="23">
        <f>LN('Cours Hebdo'!E24/'Cours Hebdo'!E23)</f>
        <v>7.7450719510446756E-2</v>
      </c>
      <c r="F24" s="23">
        <f>LN('Cours Hebdo'!F24/'Cours Hebdo'!F23)</f>
        <v>2.939939706526417E-2</v>
      </c>
      <c r="G24" s="23">
        <f>LN('Cours Hebdo'!G24/'Cours Hebdo'!G23)</f>
        <v>4.6450339741237072E-2</v>
      </c>
      <c r="H24" s="23">
        <f>LN('Cours Hebdo'!H24/'Cours Hebdo'!H23)</f>
        <v>1.6676072323963606E-2</v>
      </c>
      <c r="I24" s="23">
        <f>LN('Cours Hebdo'!I24/'Cours Hebdo'!I23)</f>
        <v>1.7171275776865506E-2</v>
      </c>
      <c r="J24" s="23">
        <f>LN('Cours Hebdo'!J24/'Cours Hebdo'!J23)</f>
        <v>1.0577518568628047E-2</v>
      </c>
    </row>
    <row r="25" spans="1:10">
      <c r="A25" s="4">
        <v>45625</v>
      </c>
      <c r="B25" s="23">
        <f>LN('Cours Hebdo'!B25/'Cours Hebdo'!B24)</f>
        <v>-1.3303965626362815E-2</v>
      </c>
      <c r="C25" s="23">
        <f>LN('Cours Hebdo'!C25/'Cours Hebdo'!C24)</f>
        <v>-2.7466874483133468E-3</v>
      </c>
      <c r="D25" s="23">
        <f>LN('Cours Hebdo'!D25/'Cours Hebdo'!D24)</f>
        <v>-1.1065824512861467E-2</v>
      </c>
      <c r="E25" s="23">
        <f>LN('Cours Hebdo'!E25/'Cours Hebdo'!E24)</f>
        <v>-1.4197133760972567E-2</v>
      </c>
      <c r="F25" s="23">
        <f>LN('Cours Hebdo'!F25/'Cours Hebdo'!F24)</f>
        <v>1.3667722908694627E-2</v>
      </c>
      <c r="G25" s="23">
        <f>LN('Cours Hebdo'!G25/'Cours Hebdo'!G24)</f>
        <v>1.6902950576670309E-2</v>
      </c>
      <c r="H25" s="23">
        <f>LN('Cours Hebdo'!H25/'Cours Hebdo'!H24)</f>
        <v>1.0505264288612167E-2</v>
      </c>
      <c r="I25" s="23">
        <f>LN('Cours Hebdo'!I25/'Cours Hebdo'!I24)</f>
        <v>1.1225095089441752E-2</v>
      </c>
      <c r="J25" s="23">
        <f>LN('Cours Hebdo'!J25/'Cours Hebdo'!J24)</f>
        <v>3.4945825911436544E-3</v>
      </c>
    </row>
    <row r="26" spans="1:10">
      <c r="A26" s="4">
        <v>45632</v>
      </c>
      <c r="B26" s="23">
        <f>LN('Cours Hebdo'!B26/'Cours Hebdo'!B25)</f>
        <v>-2.2574322038539065E-2</v>
      </c>
      <c r="C26" s="23">
        <f>LN('Cours Hebdo'!C26/'Cours Hebdo'!C25)</f>
        <v>2.6160290572382467E-2</v>
      </c>
      <c r="D26" s="23">
        <f>LN('Cours Hebdo'!D26/'Cours Hebdo'!D25)</f>
        <v>3.5174808239855526E-2</v>
      </c>
      <c r="E26" s="23">
        <f>LN('Cours Hebdo'!E26/'Cours Hebdo'!E25)</f>
        <v>7.6677766867118927E-2</v>
      </c>
      <c r="F26" s="23">
        <f>LN('Cours Hebdo'!F26/'Cours Hebdo'!F25)</f>
        <v>-0.11549349038785843</v>
      </c>
      <c r="G26" s="23">
        <f>LN('Cours Hebdo'!G26/'Cours Hebdo'!G25)</f>
        <v>5.608386378202352E-2</v>
      </c>
      <c r="H26" s="23">
        <f>LN('Cours Hebdo'!H26/'Cours Hebdo'!H25)</f>
        <v>9.5508122788954784E-3</v>
      </c>
      <c r="I26" s="23">
        <f>LN('Cours Hebdo'!I26/'Cours Hebdo'!I25)</f>
        <v>3.2839872255052194E-2</v>
      </c>
      <c r="J26" s="23">
        <f>LN('Cours Hebdo'!J26/'Cours Hebdo'!J25)</f>
        <v>1.9831391527123141E-2</v>
      </c>
    </row>
    <row r="27" spans="1:10">
      <c r="A27" s="4">
        <v>45639</v>
      </c>
      <c r="B27" s="23">
        <f>LN('Cours Hebdo'!B27/'Cours Hebdo'!B26)</f>
        <v>1.8100041643617937E-2</v>
      </c>
      <c r="C27" s="23">
        <f>LN('Cours Hebdo'!C27/'Cours Hebdo'!C26)</f>
        <v>-2.3334513027032295E-3</v>
      </c>
      <c r="D27" s="23">
        <f>LN('Cours Hebdo'!D27/'Cours Hebdo'!D26)</f>
        <v>-5.777246689675988E-3</v>
      </c>
      <c r="E27" s="23">
        <f>LN('Cours Hebdo'!E27/'Cours Hebdo'!E26)</f>
        <v>-0.10341197630712354</v>
      </c>
      <c r="F27" s="23">
        <f>LN('Cours Hebdo'!F27/'Cours Hebdo'!F26)</f>
        <v>-5.353276945378755E-2</v>
      </c>
      <c r="G27" s="23">
        <f>LN('Cours Hebdo'!G27/'Cours Hebdo'!G26)</f>
        <v>9.7712974016358027E-3</v>
      </c>
      <c r="H27" s="23">
        <f>LN('Cours Hebdo'!H27/'Cours Hebdo'!H26)</f>
        <v>-6.4540236389735483E-3</v>
      </c>
      <c r="I27" s="23">
        <f>LN('Cours Hebdo'!I27/'Cours Hebdo'!I26)</f>
        <v>3.365526070563612E-3</v>
      </c>
      <c r="J27" s="23">
        <f>LN('Cours Hebdo'!J27/'Cours Hebdo'!J26)</f>
        <v>-7.7536911280109925E-3</v>
      </c>
    </row>
    <row r="28" spans="1:10">
      <c r="A28" s="4">
        <v>45646</v>
      </c>
      <c r="B28" s="23">
        <f>LN('Cours Hebdo'!B28/'Cours Hebdo'!B27)</f>
        <v>2.2173857494322075E-2</v>
      </c>
      <c r="C28" s="23">
        <f>LN('Cours Hebdo'!C28/'Cours Hebdo'!C27)</f>
        <v>-1.8400054056280153E-2</v>
      </c>
      <c r="D28" s="23">
        <f>LN('Cours Hebdo'!D28/'Cours Hebdo'!D27)</f>
        <v>-6.756256387259141E-3</v>
      </c>
      <c r="E28" s="23">
        <f>LN('Cours Hebdo'!E28/'Cours Hebdo'!E27)</f>
        <v>1.8945090433871794E-2</v>
      </c>
      <c r="F28" s="23">
        <f>LN('Cours Hebdo'!F28/'Cours Hebdo'!F27)</f>
        <v>-6.7911371000351503E-3</v>
      </c>
      <c r="G28" s="23">
        <f>LN('Cours Hebdo'!G28/'Cours Hebdo'!G27)</f>
        <v>9.9877098362846237E-2</v>
      </c>
      <c r="H28" s="23">
        <f>LN('Cours Hebdo'!H28/'Cours Hebdo'!H27)</f>
        <v>-2.0070837124528663E-2</v>
      </c>
      <c r="I28" s="23">
        <f>LN('Cours Hebdo'!I28/'Cours Hebdo'!I27)</f>
        <v>-1.7930970911581343E-2</v>
      </c>
      <c r="J28" s="23">
        <f>LN('Cours Hebdo'!J28/'Cours Hebdo'!J27)</f>
        <v>-2.7999963087820778E-2</v>
      </c>
    </row>
    <row r="29" spans="1:10">
      <c r="A29" s="4">
        <v>45653</v>
      </c>
      <c r="B29" s="23">
        <f>LN('Cours Hebdo'!B29/'Cours Hebdo'!B28)</f>
        <v>-2.6668247082161294E-2</v>
      </c>
      <c r="C29" s="23">
        <f>LN('Cours Hebdo'!C29/'Cours Hebdo'!C28)</f>
        <v>1.1058344479905622E-2</v>
      </c>
      <c r="D29" s="23">
        <f>LN('Cours Hebdo'!D29/'Cours Hebdo'!D28)</f>
        <v>-3.5789738472416018E-2</v>
      </c>
      <c r="E29" s="23">
        <f>LN('Cours Hebdo'!E29/'Cours Hebdo'!E28)</f>
        <v>-2.924377286225795E-2</v>
      </c>
      <c r="F29" s="23">
        <f>LN('Cours Hebdo'!F29/'Cours Hebdo'!F28)</f>
        <v>-2.2685851513341068E-2</v>
      </c>
      <c r="G29" s="23">
        <f>LN('Cours Hebdo'!G29/'Cours Hebdo'!G28)</f>
        <v>-3.2316579562543107E-2</v>
      </c>
      <c r="H29" s="23">
        <f>LN('Cours Hebdo'!H29/'Cours Hebdo'!H28)</f>
        <v>6.7200366975729252E-3</v>
      </c>
      <c r="I29" s="23">
        <f>LN('Cours Hebdo'!I29/'Cours Hebdo'!I28)</f>
        <v>7.6056403626412056E-3</v>
      </c>
      <c r="J29" s="23">
        <f>LN('Cours Hebdo'!J29/'Cours Hebdo'!J28)</f>
        <v>9.8874167265817388E-3</v>
      </c>
    </row>
    <row r="30" spans="1:10">
      <c r="A30" s="4">
        <v>45660</v>
      </c>
      <c r="B30" s="23">
        <f>LN('Cours Hebdo'!B30/'Cours Hebdo'!B29)</f>
        <v>8.9686699827603161E-3</v>
      </c>
      <c r="C30" s="23">
        <f>LN('Cours Hebdo'!C30/'Cours Hebdo'!C29)</f>
        <v>-9.9948843549282178E-3</v>
      </c>
      <c r="D30" s="23">
        <f>LN('Cours Hebdo'!D30/'Cours Hebdo'!D29)</f>
        <v>7.1637985654288442E-3</v>
      </c>
      <c r="E30" s="23">
        <f>LN('Cours Hebdo'!E30/'Cours Hebdo'!E29)</f>
        <v>1.4842097093772844E-2</v>
      </c>
      <c r="F30" s="23">
        <f>LN('Cours Hebdo'!F30/'Cours Hebdo'!F29)</f>
        <v>-1.0511063498533006E-2</v>
      </c>
      <c r="G30" s="23">
        <f>LN('Cours Hebdo'!G30/'Cours Hebdo'!G29)</f>
        <v>1.9777175174103649E-3</v>
      </c>
      <c r="H30" s="23">
        <f>LN('Cours Hebdo'!H30/'Cours Hebdo'!H29)</f>
        <v>-4.76268684233492E-3</v>
      </c>
      <c r="I30" s="23">
        <f>LN('Cours Hebdo'!I30/'Cours Hebdo'!I29)</f>
        <v>-5.1011879446280946E-3</v>
      </c>
      <c r="J30" s="23">
        <f>LN('Cours Hebdo'!J30/'Cours Hebdo'!J29)</f>
        <v>1.989442476352308E-3</v>
      </c>
    </row>
    <row r="31" spans="1:10">
      <c r="A31" s="4">
        <v>45667</v>
      </c>
      <c r="B31" s="23">
        <f>LN('Cours Hebdo'!B31/'Cours Hebdo'!B30)</f>
        <v>4.3675063502661635E-2</v>
      </c>
      <c r="C31" s="23">
        <f>LN('Cours Hebdo'!C31/'Cours Hebdo'!C30)</f>
        <v>2.0230036993362569E-2</v>
      </c>
      <c r="D31" s="23">
        <f>LN('Cours Hebdo'!D31/'Cours Hebdo'!D30)</f>
        <v>-0.10204924719372357</v>
      </c>
      <c r="E31" s="23">
        <f>LN('Cours Hebdo'!E31/'Cours Hebdo'!E30)</f>
        <v>-5.8813039588545085E-2</v>
      </c>
      <c r="F31" s="23">
        <f>LN('Cours Hebdo'!F31/'Cours Hebdo'!F30)</f>
        <v>-4.5947092789223445E-2</v>
      </c>
      <c r="G31" s="23">
        <f>LN('Cours Hebdo'!G31/'Cours Hebdo'!G30)</f>
        <v>-5.0560907804438338E-2</v>
      </c>
      <c r="H31" s="23">
        <f>LN('Cours Hebdo'!H31/'Cours Hebdo'!H30)</f>
        <v>-1.9615748576220924E-2</v>
      </c>
      <c r="I31" s="23">
        <f>LN('Cours Hebdo'!I31/'Cours Hebdo'!I30)</f>
        <v>-2.372517461465537E-2</v>
      </c>
      <c r="J31" s="23">
        <f>LN('Cours Hebdo'!J31/'Cours Hebdo'!J30)</f>
        <v>6.4921871875017103E-3</v>
      </c>
    </row>
    <row r="32" spans="1:10">
      <c r="A32" s="4">
        <v>45674</v>
      </c>
      <c r="B32" s="23">
        <f>LN('Cours Hebdo'!B32/'Cours Hebdo'!B31)</f>
        <v>-3.0371097876298759E-2</v>
      </c>
      <c r="C32" s="23">
        <f>LN('Cours Hebdo'!C32/'Cours Hebdo'!C31)</f>
        <v>3.6819934354876176E-2</v>
      </c>
      <c r="D32" s="23">
        <f>LN('Cours Hebdo'!D32/'Cours Hebdo'!D31)</f>
        <v>6.9232420768143288E-2</v>
      </c>
      <c r="E32" s="23">
        <f>LN('Cours Hebdo'!E32/'Cours Hebdo'!E31)</f>
        <v>6.6264848536470022E-2</v>
      </c>
      <c r="F32" s="23">
        <f>LN('Cours Hebdo'!F32/'Cours Hebdo'!F31)</f>
        <v>2.1283890556302063E-2</v>
      </c>
      <c r="G32" s="23">
        <f>LN('Cours Hebdo'!G32/'Cours Hebdo'!G31)</f>
        <v>5.6649209478925308E-2</v>
      </c>
      <c r="H32" s="23">
        <f>LN('Cours Hebdo'!H32/'Cours Hebdo'!H31)</f>
        <v>2.8693514184263167E-2</v>
      </c>
      <c r="I32" s="23">
        <f>LN('Cours Hebdo'!I32/'Cours Hebdo'!I31)</f>
        <v>2.4159270083263806E-2</v>
      </c>
      <c r="J32" s="23">
        <f>LN('Cours Hebdo'!J32/'Cours Hebdo'!J31)</f>
        <v>2.3418635686486781E-2</v>
      </c>
    </row>
    <row r="33" spans="1:10">
      <c r="A33" s="4">
        <v>45681</v>
      </c>
      <c r="B33" s="23">
        <f>LN('Cours Hebdo'!B33/'Cours Hebdo'!B32)</f>
        <v>6.8111425859145883E-2</v>
      </c>
      <c r="C33" s="23">
        <f>LN('Cours Hebdo'!C33/'Cours Hebdo'!C32)</f>
        <v>2.7867117650686429E-2</v>
      </c>
      <c r="D33" s="23">
        <f>LN('Cours Hebdo'!D33/'Cours Hebdo'!D32)</f>
        <v>1.3487800084157031E-2</v>
      </c>
      <c r="E33" s="23">
        <f>LN('Cours Hebdo'!E33/'Cours Hebdo'!E32)</f>
        <v>5.4505182042665225E-2</v>
      </c>
      <c r="F33" s="23">
        <f>LN('Cours Hebdo'!F33/'Cours Hebdo'!F32)</f>
        <v>-2.0362410564337963E-2</v>
      </c>
      <c r="G33" s="23">
        <f>LN('Cours Hebdo'!G33/'Cours Hebdo'!G32)</f>
        <v>-0.14405570317103286</v>
      </c>
      <c r="H33" s="23">
        <f>LN('Cours Hebdo'!H33/'Cours Hebdo'!H32)</f>
        <v>1.7289394002651979E-2</v>
      </c>
      <c r="I33" s="23">
        <f>LN('Cours Hebdo'!I33/'Cours Hebdo'!I32)</f>
        <v>1.6375541184687165E-2</v>
      </c>
      <c r="J33" s="23">
        <f>LN('Cours Hebdo'!J33/'Cours Hebdo'!J32)</f>
        <v>1.224286603595608E-2</v>
      </c>
    </row>
    <row r="34" spans="1:10">
      <c r="A34" s="4">
        <v>45688</v>
      </c>
      <c r="B34" s="23">
        <f>LN('Cours Hebdo'!B34/'Cours Hebdo'!B33)</f>
        <v>4.0328045386971809E-2</v>
      </c>
      <c r="C34" s="23">
        <f>LN('Cours Hebdo'!C34/'Cours Hebdo'!C33)</f>
        <v>2.8404229798998045E-3</v>
      </c>
      <c r="D34" s="23">
        <f>LN('Cours Hebdo'!D34/'Cours Hebdo'!D33)</f>
        <v>5.455458437206246E-2</v>
      </c>
      <c r="E34" s="23">
        <f>LN('Cours Hebdo'!E34/'Cours Hebdo'!E33)</f>
        <v>3.0319652476517547E-2</v>
      </c>
      <c r="F34" s="23">
        <f>LN('Cours Hebdo'!F34/'Cours Hebdo'!F33)</f>
        <v>4.3262939748648463E-2</v>
      </c>
      <c r="G34" s="23">
        <f>LN('Cours Hebdo'!G34/'Cours Hebdo'!G33)</f>
        <v>1.2498894535969788E-2</v>
      </c>
      <c r="H34" s="23">
        <f>LN('Cours Hebdo'!H34/'Cours Hebdo'!H33)</f>
        <v>-1.0000346749402011E-2</v>
      </c>
      <c r="I34" s="23">
        <f>LN('Cours Hebdo'!I34/'Cours Hebdo'!I33)</f>
        <v>-1.6516138822391006E-2</v>
      </c>
      <c r="J34" s="23">
        <f>LN('Cours Hebdo'!J34/'Cours Hebdo'!J33)</f>
        <v>1.7689357382342393E-2</v>
      </c>
    </row>
    <row r="35" spans="1:10">
      <c r="A35" s="4">
        <v>45695</v>
      </c>
      <c r="B35" s="23">
        <f>LN('Cours Hebdo'!B35/'Cours Hebdo'!B34)</f>
        <v>7.8740564309058656E-3</v>
      </c>
      <c r="C35" s="23">
        <f>LN('Cours Hebdo'!C35/'Cours Hebdo'!C34)</f>
        <v>2.8712670074986292E-3</v>
      </c>
      <c r="D35" s="23">
        <f>LN('Cours Hebdo'!D35/'Cours Hebdo'!D34)</f>
        <v>1.214209819710957E-2</v>
      </c>
      <c r="E35" s="23">
        <f>LN('Cours Hebdo'!E35/'Cours Hebdo'!E34)</f>
        <v>-0.44310801293581314</v>
      </c>
      <c r="F35" s="23">
        <f>LN('Cours Hebdo'!F35/'Cours Hebdo'!F34)</f>
        <v>-4.7262362752998589E-2</v>
      </c>
      <c r="G35" s="23">
        <f>LN('Cours Hebdo'!G35/'Cours Hebdo'!G34)</f>
        <v>7.1015511034028022E-3</v>
      </c>
      <c r="H35" s="23">
        <f>LN('Cours Hebdo'!H35/'Cours Hebdo'!H34)</f>
        <v>-2.4099007492465931E-3</v>
      </c>
      <c r="I35" s="23">
        <f>LN('Cours Hebdo'!I35/'Cours Hebdo'!I34)</f>
        <v>-5.3147931341760053E-3</v>
      </c>
      <c r="J35" s="23">
        <f>LN('Cours Hebdo'!J35/'Cours Hebdo'!J34)</f>
        <v>5.9503642619347678E-3</v>
      </c>
    </row>
    <row r="36" spans="1:10">
      <c r="A36" s="4">
        <v>45702</v>
      </c>
      <c r="B36" s="23">
        <f>LN('Cours Hebdo'!B36/'Cours Hebdo'!B35)</f>
        <v>-1.1834457647002796E-2</v>
      </c>
      <c r="C36" s="23">
        <f>LN('Cours Hebdo'!C36/'Cours Hebdo'!C35)</f>
        <v>2.5449086087034414E-2</v>
      </c>
      <c r="D36" s="23">
        <f>LN('Cours Hebdo'!D36/'Cours Hebdo'!D35)</f>
        <v>-0.22962433309120026</v>
      </c>
      <c r="E36" s="23">
        <f>LN('Cours Hebdo'!E36/'Cours Hebdo'!E35)</f>
        <v>-3.7888933166986175E-2</v>
      </c>
      <c r="F36" s="23">
        <f>LN('Cours Hebdo'!F36/'Cours Hebdo'!F35)</f>
        <v>5.4294377794285052E-2</v>
      </c>
      <c r="G36" s="23">
        <f>LN('Cours Hebdo'!G36/'Cours Hebdo'!G35)</f>
        <v>-0.10477656119841718</v>
      </c>
      <c r="H36" s="23">
        <f>LN('Cours Hebdo'!H36/'Cours Hebdo'!H35)</f>
        <v>1.4602421068142572E-2</v>
      </c>
      <c r="I36" s="23">
        <f>LN('Cours Hebdo'!I36/'Cours Hebdo'!I35)</f>
        <v>2.5456089002012825E-2</v>
      </c>
      <c r="J36" s="23">
        <f>LN('Cours Hebdo'!J36/'Cours Hebdo'!J35)</f>
        <v>1.76416668218187E-2</v>
      </c>
    </row>
    <row r="37" spans="1:10">
      <c r="A37" s="4">
        <v>45709</v>
      </c>
      <c r="B37" s="23">
        <f>LN('Cours Hebdo'!B37/'Cours Hebdo'!B36)</f>
        <v>3.5091319811270193E-2</v>
      </c>
      <c r="C37" s="23">
        <f>LN('Cours Hebdo'!C37/'Cours Hebdo'!C36)</f>
        <v>-2.9425356640346433E-3</v>
      </c>
      <c r="D37" s="23">
        <f>LN('Cours Hebdo'!D37/'Cours Hebdo'!D36)</f>
        <v>-4.5195319963077789E-2</v>
      </c>
      <c r="E37" s="23">
        <f>LN('Cours Hebdo'!E37/'Cours Hebdo'!E36)</f>
        <v>-0.12615550323913166</v>
      </c>
      <c r="F37" s="23">
        <f>LN('Cours Hebdo'!F37/'Cours Hebdo'!F36)</f>
        <v>-6.6077374691799501E-2</v>
      </c>
      <c r="G37" s="23">
        <f>LN('Cours Hebdo'!G37/'Cours Hebdo'!G36)</f>
        <v>-5.3612070648387702E-2</v>
      </c>
      <c r="H37" s="23">
        <f>LN('Cours Hebdo'!H37/'Cours Hebdo'!H36)</f>
        <v>-1.6738849034453527E-2</v>
      </c>
      <c r="I37" s="23">
        <f>LN('Cours Hebdo'!I37/'Cours Hebdo'!I36)</f>
        <v>-2.5424876944792667E-2</v>
      </c>
      <c r="J37" s="23">
        <f>LN('Cours Hebdo'!J37/'Cours Hebdo'!J36)</f>
        <v>2.603372302080889E-3</v>
      </c>
    </row>
    <row r="38" spans="1:10">
      <c r="A38" s="4">
        <v>45716</v>
      </c>
      <c r="B38" s="23">
        <f>LN('Cours Hebdo'!B38/'Cours Hebdo'!B37)</f>
        <v>2.6466573188163273E-2</v>
      </c>
      <c r="C38" s="23">
        <f>LN('Cours Hebdo'!C38/'Cours Hebdo'!C37)</f>
        <v>-5.2722997671750694E-3</v>
      </c>
      <c r="D38" s="23">
        <f>LN('Cours Hebdo'!D38/'Cours Hebdo'!D37)</f>
        <v>-1.6427458860831797E-2</v>
      </c>
      <c r="E38" s="23">
        <f>LN('Cours Hebdo'!E38/'Cours Hebdo'!E37)</f>
        <v>4.577842224331384E-2</v>
      </c>
      <c r="F38" s="23">
        <f>LN('Cours Hebdo'!F38/'Cours Hebdo'!F37)</f>
        <v>-2.3671671735214873E-2</v>
      </c>
      <c r="G38" s="23">
        <f>LN('Cours Hebdo'!G38/'Cours Hebdo'!G37)</f>
        <v>3.5944508021531554E-2</v>
      </c>
      <c r="H38" s="23">
        <f>LN('Cours Hebdo'!H38/'Cours Hebdo'!H37)</f>
        <v>-9.798155932925854E-3</v>
      </c>
      <c r="I38" s="23">
        <f>LN('Cours Hebdo'!I38/'Cours Hebdo'!I37)</f>
        <v>-3.5276409116923771E-2</v>
      </c>
      <c r="J38" s="23">
        <f>LN('Cours Hebdo'!J38/'Cours Hebdo'!J37)</f>
        <v>6.0124513666998712E-3</v>
      </c>
    </row>
    <row r="39" spans="1:10">
      <c r="A39" s="4">
        <v>45723</v>
      </c>
      <c r="B39" s="23">
        <f>LN('Cours Hebdo'!B39/'Cours Hebdo'!B38)</f>
        <v>-3.8027395589239253E-2</v>
      </c>
      <c r="C39" s="23">
        <f>LN('Cours Hebdo'!C39/'Cours Hebdo'!C38)</f>
        <v>1.1298275152879849E-3</v>
      </c>
      <c r="D39" s="23">
        <f>LN('Cours Hebdo'!D39/'Cours Hebdo'!D38)</f>
        <v>1.193679185244508E-2</v>
      </c>
      <c r="E39" s="23">
        <f>LN('Cours Hebdo'!E39/'Cours Hebdo'!E38)</f>
        <v>-0.15572194024462899</v>
      </c>
      <c r="F39" s="23">
        <f>LN('Cours Hebdo'!F39/'Cours Hebdo'!F38)</f>
        <v>-2.5227689043588228E-2</v>
      </c>
      <c r="G39" s="23">
        <f>LN('Cours Hebdo'!G39/'Cours Hebdo'!G38)</f>
        <v>-1.9032743647738957E-2</v>
      </c>
      <c r="H39" s="23">
        <f>LN('Cours Hebdo'!H39/'Cours Hebdo'!H38)</f>
        <v>-3.1440460413079803E-2</v>
      </c>
      <c r="I39" s="23">
        <f>LN('Cours Hebdo'!I39/'Cours Hebdo'!I38)</f>
        <v>-3.5154650248231389E-2</v>
      </c>
      <c r="J39" s="23">
        <f>LN('Cours Hebdo'!J39/'Cours Hebdo'!J38)</f>
        <v>-6.9156306586780052E-3</v>
      </c>
    </row>
    <row r="40" spans="1:10">
      <c r="A40" s="4">
        <v>45730</v>
      </c>
      <c r="B40" s="23">
        <f>LN('Cours Hebdo'!B40/'Cours Hebdo'!B39)</f>
        <v>-1.1696039763191298E-2</v>
      </c>
      <c r="C40" s="23">
        <f>LN('Cours Hebdo'!C40/'Cours Hebdo'!C39)</f>
        <v>-1.1458365944933845E-2</v>
      </c>
      <c r="D40" s="23">
        <f>LN('Cours Hebdo'!D40/'Cours Hebdo'!D39)</f>
        <v>2.0452232923875765E-2</v>
      </c>
      <c r="E40" s="23">
        <f>LN('Cours Hebdo'!E40/'Cours Hebdo'!E39)</f>
        <v>-1.7510665458880442E-2</v>
      </c>
      <c r="F40" s="23">
        <f>LN('Cours Hebdo'!F40/'Cours Hebdo'!F39)</f>
        <v>-7.4435589590909235E-2</v>
      </c>
      <c r="G40" s="23">
        <f>LN('Cours Hebdo'!G40/'Cours Hebdo'!G39)</f>
        <v>1.9261285551394614E-2</v>
      </c>
      <c r="H40" s="23">
        <f>LN('Cours Hebdo'!H40/'Cours Hebdo'!H39)</f>
        <v>-2.3010681619741249E-2</v>
      </c>
      <c r="I40" s="23">
        <f>LN('Cours Hebdo'!I40/'Cours Hebdo'!I39)</f>
        <v>-2.4598015732637733E-2</v>
      </c>
      <c r="J40" s="23">
        <f>LN('Cours Hebdo'!J40/'Cours Hebdo'!J39)</f>
        <v>-1.2273439761673409E-2</v>
      </c>
    </row>
    <row r="41" spans="1:10">
      <c r="A41" s="4">
        <v>45737</v>
      </c>
      <c r="B41" s="23">
        <f>LN('Cours Hebdo'!B41/'Cours Hebdo'!B40)</f>
        <v>-3.5932009226063329E-2</v>
      </c>
      <c r="C41" s="23">
        <f>LN('Cours Hebdo'!C41/'Cours Hebdo'!C40)</f>
        <v>1.8256741081909306E-3</v>
      </c>
      <c r="D41" s="23">
        <f>LN('Cours Hebdo'!D41/'Cours Hebdo'!D40)</f>
        <v>7.9856987498312468E-3</v>
      </c>
      <c r="E41" s="23">
        <f>LN('Cours Hebdo'!E41/'Cours Hebdo'!E40)</f>
        <v>3.1802554195629058E-2</v>
      </c>
      <c r="F41" s="23">
        <f>LN('Cours Hebdo'!F41/'Cours Hebdo'!F40)</f>
        <v>5.6298476278824556E-3</v>
      </c>
      <c r="G41" s="23">
        <f>LN('Cours Hebdo'!G41/'Cours Hebdo'!G40)</f>
        <v>-3.5474952923063535E-3</v>
      </c>
      <c r="H41" s="23">
        <f>LN('Cours Hebdo'!H41/'Cours Hebdo'!H40)</f>
        <v>5.0626061672895718E-3</v>
      </c>
      <c r="I41" s="23">
        <f>LN('Cours Hebdo'!I41/'Cours Hebdo'!I40)</f>
        <v>1.6861289910730854E-3</v>
      </c>
      <c r="J41" s="23">
        <f>LN('Cours Hebdo'!J41/'Cours Hebdo'!J40)</f>
        <v>5.6008382347367018E-3</v>
      </c>
    </row>
    <row r="42" spans="1:10">
      <c r="A42" s="4">
        <v>45744</v>
      </c>
      <c r="B42" s="23">
        <f>LN('Cours Hebdo'!B42/'Cours Hebdo'!B41)</f>
        <v>-1.6393809775676383E-2</v>
      </c>
      <c r="C42" s="23">
        <f>LN('Cours Hebdo'!C42/'Cours Hebdo'!C41)</f>
        <v>-1.5899811927842671E-2</v>
      </c>
      <c r="D42" s="23">
        <f>LN('Cours Hebdo'!D42/'Cours Hebdo'!D41)</f>
        <v>-2.9871030354331415E-2</v>
      </c>
      <c r="E42" s="23">
        <f>LN('Cours Hebdo'!E42/'Cours Hebdo'!E41)</f>
        <v>-3.5471451638101864E-2</v>
      </c>
      <c r="F42" s="23">
        <f>LN('Cours Hebdo'!F42/'Cours Hebdo'!F41)</f>
        <v>1.4629312654062419E-2</v>
      </c>
      <c r="G42" s="23">
        <f>LN('Cours Hebdo'!G42/'Cours Hebdo'!G41)</f>
        <v>-0.10252402709389959</v>
      </c>
      <c r="H42" s="23">
        <f>LN('Cours Hebdo'!H42/'Cours Hebdo'!H41)</f>
        <v>-1.5401489872290883E-2</v>
      </c>
      <c r="I42" s="23">
        <f>LN('Cours Hebdo'!I42/'Cours Hebdo'!I41)</f>
        <v>-2.6267497544596792E-2</v>
      </c>
      <c r="J42" s="23">
        <f>LN('Cours Hebdo'!J42/'Cours Hebdo'!J41)</f>
        <v>-1.3867625833180873E-2</v>
      </c>
    </row>
    <row r="43" spans="1:10">
      <c r="A43" s="4">
        <v>45751</v>
      </c>
      <c r="B43" s="23">
        <f>LN('Cours Hebdo'!B43/'Cours Hebdo'!B42)</f>
        <v>-6.3987708675283736E-2</v>
      </c>
      <c r="C43" s="23">
        <f>LN('Cours Hebdo'!C43/'Cours Hebdo'!C42)</f>
        <v>-8.4459176643636752E-2</v>
      </c>
      <c r="D43" s="23">
        <f>LN('Cours Hebdo'!D43/'Cours Hebdo'!D42)</f>
        <v>-0.10147549018212888</v>
      </c>
      <c r="E43" s="23">
        <f>LN('Cours Hebdo'!E43/'Cours Hebdo'!E42)</f>
        <v>-0.15674862306150386</v>
      </c>
      <c r="F43" s="23">
        <f>LN('Cours Hebdo'!F43/'Cours Hebdo'!F42)</f>
        <v>-0.29880871898636918</v>
      </c>
      <c r="G43" s="23">
        <f>LN('Cours Hebdo'!G43/'Cours Hebdo'!G42)</f>
        <v>-0.15286022678728772</v>
      </c>
      <c r="H43" s="23">
        <f>LN('Cours Hebdo'!H43/'Cours Hebdo'!H42)</f>
        <v>-9.5211967384885701E-2</v>
      </c>
      <c r="I43" s="23">
        <f>LN('Cours Hebdo'!I43/'Cours Hebdo'!I42)</f>
        <v>-0.10554661656890732</v>
      </c>
      <c r="J43" s="23">
        <f>LN('Cours Hebdo'!J43/'Cours Hebdo'!J42)</f>
        <v>-8.8209440207625986E-2</v>
      </c>
    </row>
    <row r="44" spans="1:10">
      <c r="A44" s="4">
        <v>45758</v>
      </c>
      <c r="B44" s="23">
        <f>LN('Cours Hebdo'!B44/'Cours Hebdo'!B43)</f>
        <v>3.9305452461464399E-2</v>
      </c>
      <c r="C44" s="23">
        <f>LN('Cours Hebdo'!C44/'Cours Hebdo'!C43)</f>
        <v>-2.3666382557028524E-2</v>
      </c>
      <c r="D44" s="23">
        <f>LN('Cours Hebdo'!D44/'Cours Hebdo'!D43)</f>
        <v>3.322864971993876E-2</v>
      </c>
      <c r="E44" s="23">
        <f>LN('Cours Hebdo'!E44/'Cours Hebdo'!E43)</f>
        <v>5.0306485569844954E-2</v>
      </c>
      <c r="F44" s="23">
        <f>LN('Cours Hebdo'!F44/'Cours Hebdo'!F43)</f>
        <v>0.10647876130800633</v>
      </c>
      <c r="G44" s="23">
        <f>LN('Cours Hebdo'!G44/'Cours Hebdo'!G43)</f>
        <v>-1.7316390351078636E-2</v>
      </c>
      <c r="H44" s="23">
        <f>LN('Cours Hebdo'!H44/'Cours Hebdo'!H43)</f>
        <v>5.5445375761684443E-2</v>
      </c>
      <c r="I44" s="23">
        <f>LN('Cours Hebdo'!I44/'Cours Hebdo'!I43)</f>
        <v>7.0384456562938985E-2</v>
      </c>
      <c r="J44" s="23">
        <f>LN('Cours Hebdo'!J44/'Cours Hebdo'!J43)</f>
        <v>-1.9387664985277876E-2</v>
      </c>
    </row>
    <row r="45" spans="1:10">
      <c r="A45" s="4">
        <v>45765</v>
      </c>
      <c r="B45" s="23">
        <f>LN('Cours Hebdo'!B45/'Cours Hebdo'!B44)</f>
        <v>-0.10296330423344199</v>
      </c>
      <c r="C45" s="23">
        <f>LN('Cours Hebdo'!C45/'Cours Hebdo'!C44)</f>
        <v>2.5164880232132699E-2</v>
      </c>
      <c r="D45" s="23">
        <f>LN('Cours Hebdo'!D45/'Cours Hebdo'!D44)</f>
        <v>-2.5548463703019112E-2</v>
      </c>
      <c r="E45" s="23">
        <f>LN('Cours Hebdo'!E45/'Cours Hebdo'!E44)</f>
        <v>-2.360496973898097E-2</v>
      </c>
      <c r="F45" s="23">
        <f>LN('Cours Hebdo'!F45/'Cours Hebdo'!F44)</f>
        <v>3.7649134621285311E-3</v>
      </c>
      <c r="G45" s="23">
        <f>LN('Cours Hebdo'!G45/'Cours Hebdo'!G44)</f>
        <v>1.8203928278393393E-2</v>
      </c>
      <c r="H45" s="23">
        <f>LN('Cours Hebdo'!H45/'Cours Hebdo'!H44)</f>
        <v>-1.5153251240087692E-2</v>
      </c>
      <c r="I45" s="23">
        <f>LN('Cours Hebdo'!I45/'Cours Hebdo'!I44)</f>
        <v>-2.6538888803429889E-2</v>
      </c>
      <c r="J45" s="23">
        <f>LN('Cours Hebdo'!J45/'Cours Hebdo'!J44)</f>
        <v>3.9513054998568872E-2</v>
      </c>
    </row>
    <row r="46" spans="1:10">
      <c r="A46" s="4">
        <v>45772</v>
      </c>
      <c r="B46" s="23">
        <f>LN('Cours Hebdo'!B46/'Cours Hebdo'!B45)</f>
        <v>5.4808236494994951E-2</v>
      </c>
      <c r="C46" s="23">
        <f>LN('Cours Hebdo'!C46/'Cours Hebdo'!C45)</f>
        <v>3.3790541936769371E-2</v>
      </c>
      <c r="D46" s="23">
        <f>LN('Cours Hebdo'!D46/'Cours Hebdo'!D45)</f>
        <v>6.0677623639476291E-2</v>
      </c>
      <c r="E46" s="23">
        <f>LN('Cours Hebdo'!E46/'Cours Hebdo'!E45)</f>
        <v>0.10774621664115996</v>
      </c>
      <c r="F46" s="23">
        <f>LN('Cours Hebdo'!F46/'Cours Hebdo'!F45)</f>
        <v>-3.8736480148313754E-2</v>
      </c>
      <c r="G46" s="23">
        <f>LN('Cours Hebdo'!G46/'Cours Hebdo'!G45)</f>
        <v>8.4865134283468022E-2</v>
      </c>
      <c r="H46" s="23">
        <f>LN('Cours Hebdo'!H46/'Cours Hebdo'!H45)</f>
        <v>4.4883881036595692E-2</v>
      </c>
      <c r="I46" s="23">
        <f>LN('Cours Hebdo'!I46/'Cours Hebdo'!I45)</f>
        <v>6.5155748275110337E-2</v>
      </c>
      <c r="J46" s="23">
        <f>LN('Cours Hebdo'!J46/'Cours Hebdo'!J45)</f>
        <v>2.7327454380369712E-2</v>
      </c>
    </row>
    <row r="47" spans="1:10">
      <c r="A47" s="4">
        <v>45779</v>
      </c>
      <c r="B47" s="23">
        <f>LN('Cours Hebdo'!B47/'Cours Hebdo'!B46)</f>
        <v>1.3245226750020723E-2</v>
      </c>
      <c r="C47" s="23">
        <f>LN('Cours Hebdo'!C47/'Cours Hebdo'!C46)</f>
        <v>3.0605929378909751E-2</v>
      </c>
      <c r="D47" s="23">
        <f>LN('Cours Hebdo'!D47/'Cours Hebdo'!D46)</f>
        <v>1.0582969803991666E-3</v>
      </c>
      <c r="E47" s="23">
        <f>LN('Cours Hebdo'!E47/'Cours Hebdo'!E46)</f>
        <v>1.5464422781035331E-3</v>
      </c>
      <c r="F47" s="23">
        <f>LN('Cours Hebdo'!F47/'Cours Hebdo'!F46)</f>
        <v>-3.4783439876386918E-3</v>
      </c>
      <c r="G47" s="23">
        <f>LN('Cours Hebdo'!G47/'Cours Hebdo'!G46)</f>
        <v>-8.812333606717429E-2</v>
      </c>
      <c r="H47" s="23">
        <f>LN('Cours Hebdo'!H47/'Cours Hebdo'!H46)</f>
        <v>2.8803577162056601E-2</v>
      </c>
      <c r="I47" s="23">
        <f>LN('Cours Hebdo'!I47/'Cours Hebdo'!I46)</f>
        <v>3.3644561731747763E-2</v>
      </c>
      <c r="J47" s="23">
        <f>LN('Cours Hebdo'!J47/'Cours Hebdo'!J46)</f>
        <v>3.0242219185347585E-2</v>
      </c>
    </row>
    <row r="48" spans="1:10">
      <c r="A48" s="4">
        <v>45786</v>
      </c>
      <c r="B48" s="23">
        <f>LN('Cours Hebdo'!B48/'Cours Hebdo'!B47)</f>
        <v>6.1037358521658626E-2</v>
      </c>
      <c r="C48" s="23">
        <f>LN('Cours Hebdo'!C48/'Cours Hebdo'!C47)</f>
        <v>-3.4458696244351926E-3</v>
      </c>
      <c r="D48" s="23">
        <f>LN('Cours Hebdo'!D48/'Cours Hebdo'!D47)</f>
        <v>0.11874628409576925</v>
      </c>
      <c r="E48" s="23">
        <f>LN('Cours Hebdo'!E48/'Cours Hebdo'!E47)</f>
        <v>-1.2886159503632918E-2</v>
      </c>
      <c r="F48" s="23">
        <f>LN('Cours Hebdo'!F48/'Cours Hebdo'!F47)</f>
        <v>4.5549546746407987E-2</v>
      </c>
      <c r="G48" s="23">
        <f>LN('Cours Hebdo'!G48/'Cours Hebdo'!G47)</f>
        <v>2.3706638563915092E-3</v>
      </c>
      <c r="H48" s="23">
        <f>LN('Cours Hebdo'!H48/'Cours Hebdo'!H47)</f>
        <v>-4.7168071884107843E-3</v>
      </c>
      <c r="I48" s="23">
        <f>LN('Cours Hebdo'!I48/'Cours Hebdo'!I47)</f>
        <v>-2.7187485554700983E-3</v>
      </c>
      <c r="J48" s="23">
        <f>LN('Cours Hebdo'!J48/'Cours Hebdo'!J47)</f>
        <v>2.8481841981654304E-3</v>
      </c>
    </row>
    <row r="49" spans="1:10">
      <c r="A49" s="4">
        <v>45793</v>
      </c>
      <c r="B49" s="23">
        <f>LN('Cours Hebdo'!B49/'Cours Hebdo'!B48)</f>
        <v>8.5566115670216811E-2</v>
      </c>
      <c r="C49" s="23">
        <f>LN('Cours Hebdo'!C49/'Cours Hebdo'!C48)</f>
        <v>1.829045463287305E-2</v>
      </c>
      <c r="D49" s="23">
        <f>LN('Cours Hebdo'!D49/'Cours Hebdo'!D48)</f>
        <v>4.2481359777825904E-2</v>
      </c>
      <c r="E49" s="23">
        <f>LN('Cours Hebdo'!E49/'Cours Hebdo'!E48)</f>
        <v>3.3856764376538763E-2</v>
      </c>
      <c r="F49" s="23">
        <f>LN('Cours Hebdo'!F49/'Cours Hebdo'!F48)</f>
        <v>2.3443380122327929E-2</v>
      </c>
      <c r="G49" s="23">
        <f>LN('Cours Hebdo'!G49/'Cours Hebdo'!G48)</f>
        <v>5.5973746735873867E-2</v>
      </c>
      <c r="H49" s="23">
        <f>LN('Cours Hebdo'!H49/'Cours Hebdo'!H48)</f>
        <v>5.1390593746400905E-2</v>
      </c>
      <c r="I49" s="23">
        <f>LN('Cours Hebdo'!I49/'Cours Hebdo'!I48)</f>
        <v>6.9073169449443389E-2</v>
      </c>
      <c r="J49" s="23">
        <f>LN('Cours Hebdo'!J49/'Cours Hebdo'!J48)</f>
        <v>2.0787686724256692E-2</v>
      </c>
    </row>
    <row r="50" spans="1:10">
      <c r="A50" s="4">
        <v>45800</v>
      </c>
      <c r="B50" s="23">
        <f>LN('Cours Hebdo'!B50/'Cours Hebdo'!B49)</f>
        <v>-2.2989518224698718E-2</v>
      </c>
      <c r="C50" s="23">
        <f>LN('Cours Hebdo'!C50/'Cours Hebdo'!C49)</f>
        <v>-1.9498622127383555E-2</v>
      </c>
      <c r="D50" s="23">
        <f>LN('Cours Hebdo'!D50/'Cours Hebdo'!D49)</f>
        <v>-2.5160872576095433E-2</v>
      </c>
      <c r="E50" s="23">
        <f>LN('Cours Hebdo'!E50/'Cours Hebdo'!E49)</f>
        <v>-4.1038116715142819E-2</v>
      </c>
      <c r="F50" s="23">
        <f>LN('Cours Hebdo'!F50/'Cours Hebdo'!F49)</f>
        <v>6.5300419145421257E-2</v>
      </c>
      <c r="G50" s="23">
        <f>LN('Cours Hebdo'!G50/'Cours Hebdo'!G49)</f>
        <v>-6.2059953046047008E-2</v>
      </c>
      <c r="H50" s="23">
        <f>LN('Cours Hebdo'!H50/'Cours Hebdo'!H49)</f>
        <v>-2.6454636385177456E-2</v>
      </c>
      <c r="I50" s="23">
        <f>LN('Cours Hebdo'!I50/'Cours Hebdo'!I49)</f>
        <v>-2.4976780292143091E-2</v>
      </c>
      <c r="J50" s="23">
        <f>LN('Cours Hebdo'!J50/'Cours Hebdo'!J49)</f>
        <v>-7.5476282377819788E-3</v>
      </c>
    </row>
    <row r="51" spans="1:10">
      <c r="A51" s="4">
        <v>45807</v>
      </c>
      <c r="B51" s="23">
        <f>LN('Cours Hebdo'!B51/'Cours Hebdo'!B50)</f>
        <v>-1.562531790308087E-2</v>
      </c>
      <c r="C51" s="23">
        <f>LN('Cours Hebdo'!C51/'Cours Hebdo'!C50)</f>
        <v>2.2588033373296288E-3</v>
      </c>
      <c r="D51" s="23">
        <f>LN('Cours Hebdo'!D51/'Cours Hebdo'!D50)</f>
        <v>3.2158288503219022E-2</v>
      </c>
      <c r="E51" s="23">
        <f>LN('Cours Hebdo'!E51/'Cours Hebdo'!E50)</f>
        <v>-1.6349165381546023E-2</v>
      </c>
      <c r="F51" s="23">
        <f>LN('Cours Hebdo'!F51/'Cours Hebdo'!F50)</f>
        <v>1.5220325839759509E-3</v>
      </c>
      <c r="G51" s="23">
        <f>LN('Cours Hebdo'!G51/'Cours Hebdo'!G50)</f>
        <v>1.9337640684524997E-3</v>
      </c>
      <c r="H51" s="23">
        <f>LN('Cours Hebdo'!H51/'Cours Hebdo'!H50)</f>
        <v>1.8587760639376047E-2</v>
      </c>
      <c r="I51" s="23">
        <f>LN('Cours Hebdo'!I51/'Cours Hebdo'!I50)</f>
        <v>1.9897556824197478E-2</v>
      </c>
      <c r="J51" s="23">
        <f>LN('Cours Hebdo'!J51/'Cours Hebdo'!J50)</f>
        <v>6.4728294506017784E-3</v>
      </c>
    </row>
    <row r="52" spans="1:10">
      <c r="A52" s="4">
        <v>45814</v>
      </c>
      <c r="B52" s="23">
        <f>LN('Cours Hebdo'!B52/'Cours Hebdo'!B51)</f>
        <v>9.387751480282909E-2</v>
      </c>
      <c r="C52" s="23">
        <f>LN('Cours Hebdo'!C52/'Cours Hebdo'!C51)</f>
        <v>6.8112106154618358E-3</v>
      </c>
      <c r="D52" s="23">
        <f>LN('Cours Hebdo'!D52/'Cours Hebdo'!D51)</f>
        <v>2.5071902679062168E-2</v>
      </c>
      <c r="E52" s="23">
        <f>LN('Cours Hebdo'!E52/'Cours Hebdo'!E51)</f>
        <v>4.3455855019656604E-2</v>
      </c>
      <c r="F52" s="23">
        <f>LN('Cours Hebdo'!F52/'Cours Hebdo'!F51)</f>
        <v>3.8050113357558771E-2</v>
      </c>
      <c r="G52" s="23">
        <f>LN('Cours Hebdo'!G52/'Cours Hebdo'!G51)</f>
        <v>2.8133696819596227E-2</v>
      </c>
      <c r="H52" s="23">
        <f>LN('Cours Hebdo'!H52/'Cours Hebdo'!H51)</f>
        <v>1.4887708007392647E-2</v>
      </c>
      <c r="I52" s="23">
        <f>LN('Cours Hebdo'!I52/'Cours Hebdo'!I51)</f>
        <v>2.154015153618042E-2</v>
      </c>
      <c r="J52" s="23">
        <f>LN('Cours Hebdo'!J52/'Cours Hebdo'!J51)</f>
        <v>9.0175457500876379E-3</v>
      </c>
    </row>
    <row r="53" spans="1:10">
      <c r="A53" s="4">
        <v>45821</v>
      </c>
      <c r="B53" s="23">
        <f>LN('Cours Hebdo'!B53/'Cours Hebdo'!B52)</f>
        <v>-5.9057749643601061E-2</v>
      </c>
      <c r="C53" s="23">
        <f>LN('Cours Hebdo'!C53/'Cours Hebdo'!C52)</f>
        <v>-1.5519153413323111E-2</v>
      </c>
      <c r="D53" s="23">
        <f>LN('Cours Hebdo'!D53/'Cours Hebdo'!D52)</f>
        <v>-5.9078250717555861E-2</v>
      </c>
      <c r="E53" s="23">
        <f>LN('Cours Hebdo'!E53/'Cours Hebdo'!E52)</f>
        <v>-9.706527575468453E-2</v>
      </c>
      <c r="F53" s="23">
        <f>LN('Cours Hebdo'!F53/'Cours Hebdo'!F52)</f>
        <v>-1.2152604982505413E-2</v>
      </c>
      <c r="G53" s="23">
        <f>LN('Cours Hebdo'!G53/'Cours Hebdo'!G52)</f>
        <v>-5.1589854278476677E-2</v>
      </c>
      <c r="H53" s="23">
        <f>LN('Cours Hebdo'!H53/'Cours Hebdo'!H52)</f>
        <v>-3.9056581086755306E-3</v>
      </c>
      <c r="I53" s="23">
        <f>LN('Cours Hebdo'!I53/'Cours Hebdo'!I52)</f>
        <v>-6.3240747274325507E-3</v>
      </c>
      <c r="J53" s="23">
        <f>LN('Cours Hebdo'!J53/'Cours Hebdo'!J52)</f>
        <v>-1.5838981147195143E-2</v>
      </c>
    </row>
    <row r="54" spans="1:10">
      <c r="A54" s="4">
        <v>45828</v>
      </c>
      <c r="B54" s="23">
        <f>LN('Cours Hebdo'!B54/'Cours Hebdo'!B53)</f>
        <v>1.5094626222484888E-2</v>
      </c>
      <c r="C54" s="23">
        <f>LN('Cours Hebdo'!C54/'Cours Hebdo'!C53)</f>
        <v>-1.2441944232802336E-2</v>
      </c>
      <c r="D54" s="23">
        <f>LN('Cours Hebdo'!D54/'Cours Hebdo'!D53)</f>
        <v>1.3230575299803997E-2</v>
      </c>
      <c r="E54" s="23">
        <f>LN('Cours Hebdo'!E54/'Cours Hebdo'!E53)</f>
        <v>5.4067201871866408E-2</v>
      </c>
      <c r="F54" s="23">
        <f>LN('Cours Hebdo'!F54/'Cours Hebdo'!F53)</f>
        <v>-2.0210231400767661E-2</v>
      </c>
      <c r="G54" s="23">
        <f>LN('Cours Hebdo'!G54/'Cours Hebdo'!G53)</f>
        <v>-5.0332115524083267E-3</v>
      </c>
      <c r="H54" s="23">
        <f>LN('Cours Hebdo'!H54/'Cours Hebdo'!H53)</f>
        <v>-1.52875982576251E-3</v>
      </c>
      <c r="I54" s="23">
        <f>LN('Cours Hebdo'!I54/'Cours Hebdo'!I53)</f>
        <v>2.0888372870127184E-3</v>
      </c>
      <c r="J54" s="23">
        <f>LN('Cours Hebdo'!J54/'Cours Hebdo'!J53)</f>
        <v>-1.5553168241014152E-2</v>
      </c>
    </row>
    <row r="55" spans="1:10">
      <c r="A55" s="4">
        <v>45835</v>
      </c>
      <c r="B55" s="23">
        <f>LN('Cours Hebdo'!B55/'Cours Hebdo'!B54)</f>
        <v>-4.5985113241823382E-2</v>
      </c>
      <c r="C55" s="23">
        <f>LN('Cours Hebdo'!C55/'Cours Hebdo'!C54)</f>
        <v>1.3335483074513505E-2</v>
      </c>
      <c r="D55" s="23">
        <f>LN('Cours Hebdo'!D55/'Cours Hebdo'!D54)</f>
        <v>3.3390297058288616E-2</v>
      </c>
      <c r="E55" s="23">
        <f>LN('Cours Hebdo'!E55/'Cours Hebdo'!E54)</f>
        <v>4.1901479018820978E-2</v>
      </c>
      <c r="F55" s="23">
        <f>LN('Cours Hebdo'!F55/'Cours Hebdo'!F54)</f>
        <v>4.4731133571158189E-2</v>
      </c>
      <c r="G55" s="23">
        <f>LN('Cours Hebdo'!G55/'Cours Hebdo'!G54)</f>
        <v>6.4014570840388333E-3</v>
      </c>
      <c r="H55" s="23">
        <f>LN('Cours Hebdo'!H55/'Cours Hebdo'!H54)</f>
        <v>3.3811227868535437E-2</v>
      </c>
      <c r="I55" s="23">
        <f>LN('Cours Hebdo'!I55/'Cours Hebdo'!I54)</f>
        <v>4.1598780470691141E-2</v>
      </c>
      <c r="J55" s="23">
        <f>LN('Cours Hebdo'!J55/'Cours Hebdo'!J54)</f>
        <v>1.3146344275335764E-2</v>
      </c>
    </row>
    <row r="56" spans="1:10">
      <c r="A56" s="4">
        <v>45842</v>
      </c>
      <c r="B56" s="23">
        <f>LN('Cours Hebdo'!B56/'Cours Hebdo'!B55)</f>
        <v>-2.3810648693718559E-2</v>
      </c>
      <c r="C56" s="23">
        <f>LN('Cours Hebdo'!C56/'Cours Hebdo'!C55)</f>
        <v>6.1350016385957012E-4</v>
      </c>
      <c r="D56" s="23">
        <f>LN('Cours Hebdo'!D56/'Cours Hebdo'!D55)</f>
        <v>2.0446356240151405E-2</v>
      </c>
      <c r="E56" s="23">
        <f>LN('Cours Hebdo'!E56/'Cours Hebdo'!E55)</f>
        <v>5.6316850848193538E-2</v>
      </c>
      <c r="F56" s="23">
        <f>LN('Cours Hebdo'!F56/'Cours Hebdo'!F55)</f>
        <v>3.6909828628773296E-2</v>
      </c>
      <c r="G56" s="23">
        <f>LN('Cours Hebdo'!G56/'Cours Hebdo'!G55)</f>
        <v>5.0366116963646373E-2</v>
      </c>
      <c r="H56" s="23">
        <f>LN('Cours Hebdo'!H56/'Cours Hebdo'!H55)</f>
        <v>1.7070232913404527E-2</v>
      </c>
      <c r="I56" s="23">
        <f>LN('Cours Hebdo'!I56/'Cours Hebdo'!I55)</f>
        <v>1.6031765717728262E-2</v>
      </c>
      <c r="J56" s="23">
        <f>LN('Cours Hebdo'!J56/'Cours Hebdo'!J55)</f>
        <v>-4.6093226219841524E-3</v>
      </c>
    </row>
    <row r="57" spans="1:10">
      <c r="A57" s="4">
        <v>45849</v>
      </c>
      <c r="B57" s="23">
        <f>LN('Cours Hebdo'!B57/'Cours Hebdo'!B56)</f>
        <v>-2.8515170308021233E-2</v>
      </c>
      <c r="C57" s="23">
        <f>LN('Cours Hebdo'!C57/'Cours Hebdo'!C56)</f>
        <v>1.7136035550967498E-2</v>
      </c>
      <c r="D57" s="23">
        <f>LN('Cours Hebdo'!D57/'Cours Hebdo'!D56)</f>
        <v>-7.4680297331568599E-2</v>
      </c>
      <c r="E57" s="23">
        <f>LN('Cours Hebdo'!E57/'Cours Hebdo'!E56)</f>
        <v>-7.4922042216300513E-2</v>
      </c>
      <c r="F57" s="23">
        <f>LN('Cours Hebdo'!F57/'Cours Hebdo'!F56)</f>
        <v>4.1724306335170448E-3</v>
      </c>
      <c r="G57" s="23">
        <f>LN('Cours Hebdo'!G57/'Cours Hebdo'!G56)</f>
        <v>-3.05098733811602E-2</v>
      </c>
      <c r="H57" s="23">
        <f>LN('Cours Hebdo'!H57/'Cours Hebdo'!H56)</f>
        <v>-3.1262392782341426E-3</v>
      </c>
      <c r="I57" s="23">
        <f>LN('Cours Hebdo'!I57/'Cours Hebdo'!I56)</f>
        <v>-7.5608582956340309E-4</v>
      </c>
      <c r="J57" s="23">
        <f>LN('Cours Hebdo'!J57/'Cours Hebdo'!J56)</f>
        <v>1.1410675851413697E-2</v>
      </c>
    </row>
    <row r="58" spans="1:10">
      <c r="A58" s="4">
        <v>45856</v>
      </c>
      <c r="B58" s="23">
        <f>LN('Cours Hebdo'!B58/'Cours Hebdo'!B57)</f>
        <v>-5.5215722602446796E-2</v>
      </c>
      <c r="C58" s="23">
        <f>LN('Cours Hebdo'!C58/'Cours Hebdo'!C57)</f>
        <v>-8.4591547624533411E-4</v>
      </c>
      <c r="D58" s="23">
        <f>LN('Cours Hebdo'!D58/'Cours Hebdo'!D57)</f>
        <v>5.2820548350502289E-2</v>
      </c>
      <c r="E58" s="23">
        <f>LN('Cours Hebdo'!E58/'Cours Hebdo'!E57)</f>
        <v>2.4948883527949151E-2</v>
      </c>
      <c r="F58" s="23">
        <f>LN('Cours Hebdo'!F58/'Cours Hebdo'!F57)</f>
        <v>6.0257192914585971E-2</v>
      </c>
      <c r="G58" s="23">
        <f>LN('Cours Hebdo'!G58/'Cours Hebdo'!G57)</f>
        <v>-9.4276380458937267E-3</v>
      </c>
      <c r="H58" s="23">
        <f>LN('Cours Hebdo'!H58/'Cours Hebdo'!H57)</f>
        <v>5.8997377278510611E-3</v>
      </c>
      <c r="I58" s="23">
        <f>LN('Cours Hebdo'!I58/'Cours Hebdo'!I57)</f>
        <v>1.4952654393442016E-2</v>
      </c>
      <c r="J58" s="23">
        <f>LN('Cours Hebdo'!J58/'Cours Hebdo'!J57)</f>
        <v>-6.2142818149169921E-4</v>
      </c>
    </row>
    <row r="59" spans="1:10">
      <c r="A59" s="4">
        <v>45863</v>
      </c>
      <c r="B59" s="23">
        <f>LN('Cours Hebdo'!B59/'Cours Hebdo'!B58)</f>
        <v>0</v>
      </c>
      <c r="C59" s="23">
        <f>LN('Cours Hebdo'!C59/'Cours Hebdo'!C58)</f>
        <v>1.5213602065761588E-3</v>
      </c>
      <c r="D59" s="23">
        <f>LN('Cours Hebdo'!D59/'Cours Hebdo'!D58)</f>
        <v>-9.9503551334192402E-3</v>
      </c>
      <c r="E59" s="23">
        <f>LN('Cours Hebdo'!E59/'Cours Hebdo'!E58)</f>
        <v>1.3074213976495893E-3</v>
      </c>
      <c r="F59" s="23">
        <f>LN('Cours Hebdo'!F59/'Cours Hebdo'!F58)</f>
        <v>6.187892311832914E-3</v>
      </c>
      <c r="G59" s="23">
        <f>LN('Cours Hebdo'!G59/'Cours Hebdo'!G58)</f>
        <v>2.2008259703327426E-2</v>
      </c>
      <c r="H59" s="23">
        <f>LN('Cours Hebdo'!H59/'Cours Hebdo'!H58)</f>
        <v>1.4481448646656635E-2</v>
      </c>
      <c r="I59" s="23">
        <f>LN('Cours Hebdo'!I59/'Cours Hebdo'!I58)</f>
        <v>1.0126268331283151E-2</v>
      </c>
      <c r="J59" s="23">
        <f>LN('Cours Hebdo'!J59/'Cours Hebdo'!J58)</f>
        <v>5.3785847777643734E-3</v>
      </c>
    </row>
    <row r="60" spans="1:10">
      <c r="A60" s="4">
        <v>45870</v>
      </c>
      <c r="B60" s="23">
        <f>LN('Cours Hebdo'!B60/'Cours Hebdo'!B59)</f>
        <v>-4.9226940765150641E-2</v>
      </c>
      <c r="C60" s="23">
        <f>LN('Cours Hebdo'!C60/'Cours Hebdo'!C59)</f>
        <v>-3.7508433417405736E-2</v>
      </c>
      <c r="D60" s="23">
        <f>LN('Cours Hebdo'!D60/'Cours Hebdo'!D59)</f>
        <v>-5.63813990996044E-2</v>
      </c>
      <c r="E60" s="23">
        <f>LN('Cours Hebdo'!E60/'Cours Hebdo'!E59)</f>
        <v>-9.5680428502619E-2</v>
      </c>
      <c r="F60" s="23">
        <f>LN('Cours Hebdo'!F60/'Cours Hebdo'!F59)</f>
        <v>-0.12613763287927321</v>
      </c>
      <c r="G60" s="23">
        <f>LN('Cours Hebdo'!G60/'Cours Hebdo'!G59)</f>
        <v>0.21502129709037615</v>
      </c>
      <c r="H60" s="23">
        <f>LN('Cours Hebdo'!H60/'Cours Hebdo'!H59)</f>
        <v>-2.3860250896653997E-2</v>
      </c>
      <c r="I60" s="23">
        <f>LN('Cours Hebdo'!I60/'Cours Hebdo'!I59)</f>
        <v>-2.1945633959256288E-2</v>
      </c>
      <c r="J60" s="23">
        <f>LN('Cours Hebdo'!J60/'Cours Hebdo'!J59)</f>
        <v>-7.0069933680002834E-3</v>
      </c>
    </row>
    <row r="61" spans="1:10">
      <c r="A61" s="4">
        <v>45877</v>
      </c>
      <c r="B61" s="23">
        <f>LN('Cours Hebdo'!B61/'Cours Hebdo'!B60)</f>
        <v>-2.7908788117076502E-2</v>
      </c>
      <c r="C61" s="23">
        <f>LN('Cours Hebdo'!C61/'Cours Hebdo'!C60)</f>
        <v>2.5750364094849622E-2</v>
      </c>
      <c r="D61" s="23">
        <f>LN('Cours Hebdo'!D61/'Cours Hebdo'!D60)</f>
        <v>-9.0504101295268077E-2</v>
      </c>
      <c r="E61" s="23">
        <f>LN('Cours Hebdo'!E61/'Cours Hebdo'!E60)</f>
        <v>-2.4009831635668413E-2</v>
      </c>
      <c r="F61" s="23">
        <f>LN('Cours Hebdo'!F61/'Cours Hebdo'!F60)</f>
        <v>-3.5999353418211803E-2</v>
      </c>
      <c r="G61" s="23">
        <f>LN('Cours Hebdo'!G61/'Cours Hebdo'!G60)</f>
        <v>-0.13628053466216788</v>
      </c>
      <c r="H61" s="23">
        <f>LN('Cours Hebdo'!H61/'Cours Hebdo'!H60)</f>
        <v>2.3987039575366676E-2</v>
      </c>
      <c r="I61" s="23">
        <f>LN('Cours Hebdo'!I61/'Cours Hebdo'!I60)</f>
        <v>3.8003899518695441E-2</v>
      </c>
      <c r="J61" s="23">
        <f>LN('Cours Hebdo'!J61/'Cours Hebdo'!J60)</f>
        <v>1.7746814198946169E-3</v>
      </c>
    </row>
    <row r="62" spans="1:10">
      <c r="A62" s="4">
        <v>45884</v>
      </c>
      <c r="B62" s="23">
        <f>LN('Cours Hebdo'!B62/'Cours Hebdo'!B61)</f>
        <v>-1.9048194970694474E-2</v>
      </c>
      <c r="C62" s="23">
        <f>LN('Cours Hebdo'!C62/'Cours Hebdo'!C61)</f>
        <v>2.3037532283508726E-2</v>
      </c>
      <c r="D62" s="23">
        <f>LN('Cours Hebdo'!D62/'Cours Hebdo'!D61)</f>
        <v>5.002057714164386E-2</v>
      </c>
      <c r="E62" s="23">
        <f>LN('Cours Hebdo'!E62/'Cours Hebdo'!E61)</f>
        <v>-7.3910918045979133E-3</v>
      </c>
      <c r="F62" s="23">
        <f>LN('Cours Hebdo'!F62/'Cours Hebdo'!F61)</f>
        <v>5.7858161281161398E-2</v>
      </c>
      <c r="G62" s="23">
        <f>LN('Cours Hebdo'!G62/'Cours Hebdo'!G61)</f>
        <v>1.6047845723994258E-2</v>
      </c>
      <c r="H62" s="23">
        <f>LN('Cours Hebdo'!H62/'Cours Hebdo'!H61)</f>
        <v>9.4008690275217324E-3</v>
      </c>
      <c r="I62" s="23">
        <f>LN('Cours Hebdo'!I62/'Cours Hebdo'!I61)</f>
        <v>8.0311038072235167E-3</v>
      </c>
      <c r="J62" s="23">
        <f>LN('Cours Hebdo'!J62/'Cours Hebdo'!J61)</f>
        <v>1.1775067695716127E-2</v>
      </c>
    </row>
    <row r="63" spans="1:10">
      <c r="A63" s="4">
        <v>45891</v>
      </c>
      <c r="B63" s="23">
        <f>LN('Cours Hebdo'!B63/'Cours Hebdo'!B62)</f>
        <v>2.3754086008107057E-2</v>
      </c>
      <c r="C63" s="23">
        <f>LN('Cours Hebdo'!C63/'Cours Hebdo'!C62)</f>
        <v>5.818847146017824E-3</v>
      </c>
      <c r="D63" s="23">
        <f>LN('Cours Hebdo'!D63/'Cours Hebdo'!D62)</f>
        <v>6.0126831627691994E-2</v>
      </c>
      <c r="E63" s="23">
        <f>LN('Cours Hebdo'!E63/'Cours Hebdo'!E62)</f>
        <v>4.473131293964671E-2</v>
      </c>
      <c r="F63" s="23">
        <f>LN('Cours Hebdo'!F63/'Cours Hebdo'!F62)</f>
        <v>4.6814809849286772E-2</v>
      </c>
      <c r="G63" s="23">
        <f>LN('Cours Hebdo'!G63/'Cours Hebdo'!G62)</f>
        <v>6.7627433120038494E-2</v>
      </c>
      <c r="H63" s="23">
        <f>LN('Cours Hebdo'!H63/'Cours Hebdo'!H62)</f>
        <v>2.6493374276200816E-3</v>
      </c>
      <c r="I63" s="23">
        <f>LN('Cours Hebdo'!I63/'Cours Hebdo'!I62)</f>
        <v>-5.8647113898914263E-3</v>
      </c>
      <c r="J63" s="23">
        <f>LN('Cours Hebdo'!J63/'Cours Hebdo'!J62)</f>
        <v>1.3885357253012995E-2</v>
      </c>
    </row>
    <row r="64" spans="1:10">
      <c r="A64" s="4">
        <v>45898</v>
      </c>
      <c r="B64" s="23">
        <f>LN('Cours Hebdo'!B64/'Cours Hebdo'!B63)</f>
        <v>5.924283356286076E-2</v>
      </c>
      <c r="C64" s="23">
        <f>LN('Cours Hebdo'!C64/'Cours Hebdo'!C63)</f>
        <v>-3.3918907368732328E-2</v>
      </c>
      <c r="D64" s="23">
        <f>LN('Cours Hebdo'!D64/'Cours Hebdo'!D63)</f>
        <v>7.1989124029115973E-3</v>
      </c>
      <c r="E64" s="23">
        <f>LN('Cours Hebdo'!E64/'Cours Hebdo'!E63)</f>
        <v>9.3179688267719926E-2</v>
      </c>
      <c r="F64" s="23">
        <f>LN('Cours Hebdo'!F64/'Cours Hebdo'!F63)</f>
        <v>9.9116877067837908E-2</v>
      </c>
      <c r="G64" s="23">
        <f>LN('Cours Hebdo'!G64/'Cours Hebdo'!G63)</f>
        <v>2.786513034045526E-2</v>
      </c>
      <c r="H64" s="23">
        <f>LN('Cours Hebdo'!H64/'Cours Hebdo'!H63)</f>
        <v>-1.0289013375530251E-3</v>
      </c>
      <c r="I64" s="23">
        <f>LN('Cours Hebdo'!I64/'Cours Hebdo'!I63)</f>
        <v>-1.9085587612191614E-3</v>
      </c>
      <c r="J64" s="23">
        <f>LN('Cours Hebdo'!J64/'Cours Hebdo'!J63)</f>
        <v>-2.0082682283760166E-2</v>
      </c>
    </row>
    <row r="65" spans="1:10">
      <c r="A65" s="4">
        <v>45905</v>
      </c>
      <c r="B65" s="23">
        <f>LN('Cours Hebdo'!B65/'Cours Hebdo'!B64)</f>
        <v>-9.7525020133877732E-2</v>
      </c>
      <c r="C65" s="23">
        <f>LN('Cours Hebdo'!C65/'Cours Hebdo'!C64)</f>
        <v>-3.7870808915423516E-3</v>
      </c>
      <c r="D65" s="23">
        <f>LN('Cours Hebdo'!D65/'Cours Hebdo'!D64)</f>
        <v>-1.4076882288045949E-2</v>
      </c>
      <c r="E65" s="23">
        <f>LN('Cours Hebdo'!E65/'Cours Hebdo'!E64)</f>
        <v>0.10462786158674488</v>
      </c>
      <c r="F65" s="23">
        <f>LN('Cours Hebdo'!F65/'Cours Hebdo'!F64)</f>
        <v>-5.4724931245738691E-2</v>
      </c>
      <c r="G65" s="23">
        <f>LN('Cours Hebdo'!G65/'Cours Hebdo'!G64)</f>
        <v>-2.8490520275323925E-2</v>
      </c>
      <c r="H65" s="23">
        <f>LN('Cours Hebdo'!H65/'Cours Hebdo'!H64)</f>
        <v>3.2824366748478396E-3</v>
      </c>
      <c r="I65" s="23">
        <f>LN('Cours Hebdo'!I65/'Cours Hebdo'!I64)</f>
        <v>1.1346871958958761E-2</v>
      </c>
      <c r="J65" s="23">
        <f>LN('Cours Hebdo'!J65/'Cours Hebdo'!J64)</f>
        <v>-1.691895877827056E-3</v>
      </c>
    </row>
    <row r="66" spans="1:10">
      <c r="A66" s="4">
        <v>45912</v>
      </c>
      <c r="B66" s="23">
        <f>LN('Cours Hebdo'!B66/'Cours Hebdo'!B65)</f>
        <v>4.8661896511729063E-3</v>
      </c>
      <c r="C66" s="23">
        <f>LN('Cours Hebdo'!C66/'Cours Hebdo'!C65)</f>
        <v>1.9414836259710386E-2</v>
      </c>
      <c r="D66" s="23">
        <f>LN('Cours Hebdo'!D66/'Cours Hebdo'!D65)</f>
        <v>1.2604435556527308E-2</v>
      </c>
      <c r="E66" s="23">
        <f>LN('Cours Hebdo'!E66/'Cours Hebdo'!E65)</f>
        <v>-9.1609883037363678E-3</v>
      </c>
      <c r="F66" s="23">
        <f>LN('Cours Hebdo'!F66/'Cours Hebdo'!F65)</f>
        <v>-1.0249700150825885E-2</v>
      </c>
      <c r="G66" s="23">
        <f>LN('Cours Hebdo'!G66/'Cours Hebdo'!G65)</f>
        <v>-3.1131373590718301E-2</v>
      </c>
      <c r="H66" s="23">
        <f>LN('Cours Hebdo'!H66/'Cours Hebdo'!H65)</f>
        <v>1.5734549452025744E-2</v>
      </c>
      <c r="I66" s="23">
        <f>LN('Cours Hebdo'!I66/'Cours Hebdo'!I65)</f>
        <v>2.0105330697463879E-2</v>
      </c>
      <c r="J66" s="23">
        <f>LN('Cours Hebdo'!J66/'Cours Hebdo'!J65)</f>
        <v>1.019891025849198E-2</v>
      </c>
    </row>
    <row r="67" spans="1:10">
      <c r="A67" s="4">
        <v>45919</v>
      </c>
      <c r="B67" s="23">
        <f>LN('Cours Hebdo'!B67/'Cours Hebdo'!B66)</f>
        <v>0.11454154173221241</v>
      </c>
      <c r="C67" s="23">
        <f>LN('Cours Hebdo'!C67/'Cours Hebdo'!C66)</f>
        <v>3.6162953650389785E-3</v>
      </c>
      <c r="D67" s="23">
        <f>LN('Cours Hebdo'!D67/'Cours Hebdo'!D66)</f>
        <v>-2.3859521444501895E-2</v>
      </c>
      <c r="E67" s="23">
        <f>LN('Cours Hebdo'!E67/'Cours Hebdo'!E66)</f>
        <v>2.4563665333405052E-2</v>
      </c>
      <c r="F67" s="23">
        <f>LN('Cours Hebdo'!F67/'Cours Hebdo'!F66)</f>
        <v>-1.5405562451303397E-2</v>
      </c>
      <c r="G67" s="23">
        <f>LN('Cours Hebdo'!G67/'Cours Hebdo'!G66)</f>
        <v>2.7747741859996771E-2</v>
      </c>
      <c r="H67" s="23">
        <f>LN('Cours Hebdo'!H67/'Cours Hebdo'!H66)</f>
        <v>1.208738998917336E-2</v>
      </c>
      <c r="I67" s="23">
        <f>LN('Cours Hebdo'!I67/'Cours Hebdo'!I66)</f>
        <v>2.1906285896953804E-2</v>
      </c>
      <c r="J67" s="23">
        <f>LN('Cours Hebdo'!J67/'Cours Hebdo'!J66)</f>
        <v>-1.2985713194279623E-3</v>
      </c>
    </row>
    <row r="68" spans="1:10">
      <c r="A68" s="4">
        <v>45926</v>
      </c>
      <c r="B68" s="23">
        <f>LN('Cours Hebdo'!B68/'Cours Hebdo'!B67)</f>
        <v>1.2903404835907782E-2</v>
      </c>
      <c r="C68" s="23">
        <f>LN('Cours Hebdo'!C68/'Cours Hebdo'!C67)</f>
        <v>2.1737528978613306E-3</v>
      </c>
      <c r="D68" s="23">
        <f>LN('Cours Hebdo'!D68/'Cours Hebdo'!D67)</f>
        <v>-3.2120607946444909E-3</v>
      </c>
      <c r="E68" s="23">
        <f>LN('Cours Hebdo'!E68/'Cours Hebdo'!E67)</f>
        <v>3.455094227225633E-2</v>
      </c>
      <c r="F68" s="23">
        <f>LN('Cours Hebdo'!F68/'Cours Hebdo'!F67)</f>
        <v>-5.7297380384753738E-2</v>
      </c>
      <c r="G68" s="23">
        <f>LN('Cours Hebdo'!G68/'Cours Hebdo'!G67)</f>
        <v>7.4134836531355192E-2</v>
      </c>
      <c r="H68" s="23">
        <f>LN('Cours Hebdo'!H68/'Cours Hebdo'!H67)</f>
        <v>-3.1048378913856511E-3</v>
      </c>
      <c r="I68" s="23">
        <f>LN('Cours Hebdo'!I68/'Cours Hebdo'!I67)</f>
        <v>-6.5348057721439775E-3</v>
      </c>
      <c r="J68" s="23">
        <f>LN('Cours Hebdo'!J68/'Cours Hebdo'!J67)</f>
        <v>7.2164891423240915E-4</v>
      </c>
    </row>
    <row r="69" spans="1:10">
      <c r="A69" s="4">
        <v>45933</v>
      </c>
      <c r="B69" s="23">
        <f>LN('Cours Hebdo'!B69/'Cours Hebdo'!B68)</f>
        <v>4.5937095187025608E-2</v>
      </c>
      <c r="C69" s="23">
        <f>LN('Cours Hebdo'!C69/'Cours Hebdo'!C68)</f>
        <v>2.6437968168767E-2</v>
      </c>
      <c r="D69" s="23">
        <f>LN('Cours Hebdo'!D69/'Cours Hebdo'!D68)</f>
        <v>-2.3553018554996554E-2</v>
      </c>
      <c r="E69" s="23">
        <f>LN('Cours Hebdo'!E69/'Cours Hebdo'!E68)</f>
        <v>-1.5625320675043408E-2</v>
      </c>
      <c r="F69" s="23">
        <f>LN('Cours Hebdo'!F69/'Cours Hebdo'!F68)</f>
        <v>-6.4586176450076985E-2</v>
      </c>
      <c r="G69" s="23">
        <f>LN('Cours Hebdo'!G69/'Cours Hebdo'!G68)</f>
        <v>2.315907514253247E-2</v>
      </c>
      <c r="H69" s="23">
        <f>LN('Cours Hebdo'!H69/'Cours Hebdo'!H68)</f>
        <v>1.079240932289403E-2</v>
      </c>
      <c r="I69" s="23">
        <f>LN('Cours Hebdo'!I69/'Cours Hebdo'!I68)</f>
        <v>1.3098263180986312E-2</v>
      </c>
      <c r="J69" s="23">
        <f>LN('Cours Hebdo'!J69/'Cours Hebdo'!J68)</f>
        <v>2.8322634549250186E-2</v>
      </c>
    </row>
    <row r="70" spans="1:10">
      <c r="A70" s="4">
        <v>45940</v>
      </c>
      <c r="B70" s="23">
        <f>LN('Cours Hebdo'!B70/'Cours Hebdo'!B69)</f>
        <v>-2.4794658613216277E-2</v>
      </c>
      <c r="C70" s="23">
        <f>LN('Cours Hebdo'!C70/'Cours Hebdo'!C69)</f>
        <v>-2.0443804581277425E-2</v>
      </c>
      <c r="D70" s="23">
        <f>LN('Cours Hebdo'!D70/'Cours Hebdo'!D69)</f>
        <v>-5.0060112808571908E-2</v>
      </c>
      <c r="E70" s="23">
        <f>LN('Cours Hebdo'!E70/'Cours Hebdo'!E69)</f>
        <v>-7.7951407420743024E-2</v>
      </c>
      <c r="F70" s="23">
        <f>LN('Cours Hebdo'!F70/'Cours Hebdo'!F69)</f>
        <v>-4.7228253092194653E-2</v>
      </c>
      <c r="G70" s="23">
        <f>LN('Cours Hebdo'!G70/'Cours Hebdo'!G69)</f>
        <v>-9.6133031143213876E-3</v>
      </c>
      <c r="H70" s="23">
        <f>LN('Cours Hebdo'!H70/'Cours Hebdo'!H69)</f>
        <v>-2.4613329350081738E-2</v>
      </c>
      <c r="I70" s="23">
        <f>LN('Cours Hebdo'!I70/'Cours Hebdo'!I69)</f>
        <v>-2.561353109307659E-2</v>
      </c>
      <c r="J70" s="23">
        <f>LN('Cours Hebdo'!J70/'Cours Hebdo'!J69)</f>
        <v>-1.1087692834399287E-2</v>
      </c>
    </row>
    <row r="71" spans="1:10">
      <c r="A71" s="4">
        <v>45947</v>
      </c>
      <c r="B71" s="23">
        <f>LN('Cours Hebdo'!B71/'Cours Hebdo'!B70)</f>
        <v>7.6496032990106794E-2</v>
      </c>
      <c r="C71" s="23">
        <f>LN('Cours Hebdo'!C71/'Cours Hebdo'!C70)</f>
        <v>3.1844227877400023E-2</v>
      </c>
      <c r="D71" s="23">
        <f>LN('Cours Hebdo'!D71/'Cours Hebdo'!D70)</f>
        <v>1.4761152530176194E-2</v>
      </c>
      <c r="E71" s="23">
        <f>LN('Cours Hebdo'!E71/'Cours Hebdo'!E70)</f>
        <v>3.465795281735029E-2</v>
      </c>
      <c r="F71" s="23">
        <f>LN('Cours Hebdo'!F71/'Cours Hebdo'!F70)</f>
        <v>-5.1672019207156743E-2</v>
      </c>
      <c r="G71" s="23">
        <f>LN('Cours Hebdo'!G71/'Cours Hebdo'!G70)</f>
        <v>9.499377081912893E-3</v>
      </c>
      <c r="H71" s="23">
        <f>LN('Cours Hebdo'!H71/'Cours Hebdo'!H70)</f>
        <v>1.6873223712803656E-2</v>
      </c>
      <c r="I71" s="23">
        <f>LN('Cours Hebdo'!I71/'Cours Hebdo'!I70)</f>
        <v>2.1190382662726496E-2</v>
      </c>
      <c r="J71" s="23">
        <f>LN('Cours Hebdo'!J71/'Cours Hebdo'!J70)</f>
        <v>3.680147743782555E-3</v>
      </c>
    </row>
    <row r="72" spans="1:10">
      <c r="A72" s="4">
        <v>45954</v>
      </c>
      <c r="B72" s="23">
        <f>LN('Cours Hebdo'!B72/'Cours Hebdo'!B71)</f>
        <v>-7.649603299010678E-2</v>
      </c>
      <c r="C72" s="23">
        <f>LN('Cours Hebdo'!C72/'Cours Hebdo'!C71)</f>
        <v>6.2719986548440054E-3</v>
      </c>
      <c r="D72" s="23">
        <f>LN('Cours Hebdo'!D72/'Cours Hebdo'!D71)</f>
        <v>5.3538896595951742E-2</v>
      </c>
      <c r="E72" s="23">
        <f>LN('Cours Hebdo'!E72/'Cours Hebdo'!E71)</f>
        <v>2.5417405854164616E-3</v>
      </c>
      <c r="F72" s="23">
        <f>LN('Cours Hebdo'!F72/'Cours Hebdo'!F71)</f>
        <v>9.2781712111878176E-2</v>
      </c>
      <c r="G72" s="23">
        <f>LN('Cours Hebdo'!G72/'Cours Hebdo'!G71)</f>
        <v>1.5821343684486039E-2</v>
      </c>
      <c r="H72" s="23">
        <f>LN('Cours Hebdo'!H72/'Cours Hebdo'!H71)</f>
        <v>1.8978427115076326E-2</v>
      </c>
      <c r="I72" s="23">
        <f>LN('Cours Hebdo'!I72/'Cours Hebdo'!I71)</f>
        <v>2.287994629291934E-2</v>
      </c>
      <c r="J72" s="23">
        <f>LN('Cours Hebdo'!J72/'Cours Hebdo'!J71)</f>
        <v>1.6672924810114193E-2</v>
      </c>
    </row>
    <row r="73" spans="1:10">
      <c r="A73" s="4">
        <v>45961</v>
      </c>
      <c r="B73" s="23">
        <f>LN('Cours Hebdo'!B73/'Cours Hebdo'!B72)</f>
        <v>-3.838424300831534E-2</v>
      </c>
      <c r="C73" s="23">
        <f>LN('Cours Hebdo'!C73/'Cours Hebdo'!C72)</f>
        <v>-1.2792977970018488E-2</v>
      </c>
      <c r="D73" s="23">
        <f>LN('Cours Hebdo'!D73/'Cours Hebdo'!D72)</f>
        <v>8.5472242129930681E-2</v>
      </c>
      <c r="E73" s="23">
        <f>LN('Cours Hebdo'!E73/'Cours Hebdo'!E72)</f>
        <v>-3.0735030589188583E-2</v>
      </c>
      <c r="F73" s="23">
        <f>LN('Cours Hebdo'!F73/'Cours Hebdo'!F72)</f>
        <v>2.312901624639916E-2</v>
      </c>
      <c r="G73" s="23">
        <f>LN('Cours Hebdo'!G73/'Cours Hebdo'!G72)</f>
        <v>-4.800003129277565E-2</v>
      </c>
      <c r="H73" s="23">
        <f>LN('Cours Hebdo'!H73/'Cours Hebdo'!H72)</f>
        <v>7.1172021182248696E-3</v>
      </c>
      <c r="I73" s="23">
        <f>LN('Cours Hebdo'!I73/'Cours Hebdo'!I72)</f>
        <v>2.2165564622370067E-2</v>
      </c>
      <c r="J73" s="23">
        <f>LN('Cours Hebdo'!J73/'Cours Hebdo'!J72)</f>
        <v>-6.7442333527490241E-3</v>
      </c>
    </row>
    <row r="74" spans="1:10">
      <c r="A74" s="4">
        <v>45968</v>
      </c>
      <c r="B74" s="23">
        <f>LN('Cours Hebdo'!B74/'Cours Hebdo'!B73)</f>
        <v>-1.7544309650909508E-2</v>
      </c>
      <c r="C74" s="23">
        <f>LN('Cours Hebdo'!C74/'Cours Hebdo'!C73)</f>
        <v>-2.1267305216456919E-2</v>
      </c>
      <c r="D74" s="23">
        <f>LN('Cours Hebdo'!D74/'Cours Hebdo'!D73)</f>
        <v>-6.625174414366726E-2</v>
      </c>
      <c r="E74" s="23">
        <f>LN('Cours Hebdo'!E74/'Cours Hebdo'!E73)</f>
        <v>-8.5511379435059057E-2</v>
      </c>
      <c r="F74" s="23">
        <f>LN('Cours Hebdo'!F74/'Cours Hebdo'!F73)</f>
        <v>-2.3512681282481986E-2</v>
      </c>
      <c r="G74" s="23">
        <f>LN('Cours Hebdo'!G74/'Cours Hebdo'!G73)</f>
        <v>4.5867447973705823E-2</v>
      </c>
      <c r="H74" s="23">
        <f>LN('Cours Hebdo'!H74/'Cours Hebdo'!H73)</f>
        <v>-1.6420206886950492E-2</v>
      </c>
      <c r="I74" s="23">
        <f>LN('Cours Hebdo'!I74/'Cours Hebdo'!I73)</f>
        <v>-3.0836151023096604E-2</v>
      </c>
      <c r="J74" s="23">
        <f>LN('Cours Hebdo'!J74/'Cours Hebdo'!J73)</f>
        <v>-1.249274907234077E-2</v>
      </c>
    </row>
    <row r="75" spans="1:10">
      <c r="A75" s="4">
        <v>45975</v>
      </c>
      <c r="B75" s="23">
        <f>LN('Cours Hebdo'!B75/'Cours Hebdo'!B74)</f>
        <v>8.8853337355691342E-2</v>
      </c>
      <c r="C75" s="23">
        <f>LN('Cours Hebdo'!C75/'Cours Hebdo'!C74)</f>
        <v>2.7285313568765471E-2</v>
      </c>
      <c r="D75" s="23">
        <f>LN('Cours Hebdo'!D75/'Cours Hebdo'!D74)</f>
        <v>2.0139181123365043E-2</v>
      </c>
      <c r="E75" s="23">
        <f>LN('Cours Hebdo'!E75/'Cours Hebdo'!E74)</f>
        <v>9.9310191286821003E-2</v>
      </c>
      <c r="F75" s="23">
        <f>LN('Cours Hebdo'!F75/'Cours Hebdo'!F74)</f>
        <v>-2.0939074789276809E-2</v>
      </c>
      <c r="G75" s="23">
        <f>LN('Cours Hebdo'!G75/'Cours Hebdo'!G74)</f>
        <v>2.2552739375158181E-2</v>
      </c>
      <c r="H75" s="23">
        <f>LN('Cours Hebdo'!H75/'Cours Hebdo'!H74)</f>
        <v>7.8884267963886634E-4</v>
      </c>
      <c r="I75" s="23">
        <f>LN('Cours Hebdo'!I75/'Cours Hebdo'!I74)</f>
        <v>-4.528879404096897E-3</v>
      </c>
      <c r="J75" s="23">
        <f>LN('Cours Hebdo'!J75/'Cours Hebdo'!J74)</f>
        <v>1.7585605426076002E-2</v>
      </c>
    </row>
    <row r="76" spans="1:10">
      <c r="A76" s="4">
        <v>45982</v>
      </c>
      <c r="B76" s="23">
        <f>LN('Cours Hebdo'!B76/'Cours Hebdo'!B75)</f>
        <v>-4.0568006956144299E-3</v>
      </c>
      <c r="C76" s="23">
        <f>LN('Cours Hebdo'!C76/'Cours Hebdo'!C75)</f>
        <v>-2.3209481296243048E-2</v>
      </c>
      <c r="D76" s="23">
        <f>LN('Cours Hebdo'!D76/'Cours Hebdo'!D75)</f>
        <v>3.4694172210311463E-3</v>
      </c>
      <c r="E76" s="23">
        <f>LN('Cours Hebdo'!E76/'Cours Hebdo'!E75)</f>
        <v>-4.3847086704317022E-2</v>
      </c>
      <c r="F76" s="23">
        <f>LN('Cours Hebdo'!F76/'Cours Hebdo'!F75)</f>
        <v>-4.528928921087233E-2</v>
      </c>
      <c r="G76" s="23">
        <f>LN('Cours Hebdo'!G76/'Cours Hebdo'!G75)</f>
        <v>-5.7287436660703878E-3</v>
      </c>
      <c r="H76" s="23">
        <f>LN('Cours Hebdo'!H76/'Cours Hebdo'!H75)</f>
        <v>-1.9663023075932356E-2</v>
      </c>
      <c r="I76" s="23">
        <f>LN('Cours Hebdo'!I76/'Cours Hebdo'!I75)</f>
        <v>-2.7783889734226217E-2</v>
      </c>
      <c r="J76" s="23">
        <f>LN('Cours Hebdo'!J76/'Cours Hebdo'!J75)</f>
        <v>-2.2359820587447739E-2</v>
      </c>
    </row>
    <row r="77" spans="1:10">
      <c r="A77" s="4">
        <v>45989</v>
      </c>
      <c r="B77" s="23">
        <f>LN('Cours Hebdo'!B77/'Cours Hebdo'!B76)</f>
        <v>4.056800695614469E-3</v>
      </c>
      <c r="C77" s="23">
        <f>LN('Cours Hebdo'!C77/'Cours Hebdo'!C76)</f>
        <v>1.7393413224585583E-2</v>
      </c>
      <c r="D77" s="23">
        <f>LN('Cours Hebdo'!D77/'Cours Hebdo'!D76)</f>
        <v>3.8091346663782569E-2</v>
      </c>
      <c r="E77" s="23">
        <f>LN('Cours Hebdo'!E77/'Cours Hebdo'!E76)</f>
        <v>3.9867042679429796E-2</v>
      </c>
      <c r="F77" s="23">
        <f>LN('Cours Hebdo'!F77/'Cours Hebdo'!F76)</f>
        <v>1.2630087319003492E-2</v>
      </c>
      <c r="G77" s="23">
        <f>LN('Cours Hebdo'!G77/'Cours Hebdo'!G76)</f>
        <v>2.2396691067720954E-2</v>
      </c>
      <c r="H77" s="23">
        <f>LN('Cours Hebdo'!H77/'Cours Hebdo'!H76)</f>
        <v>3.6593161677201801E-2</v>
      </c>
      <c r="I77" s="23">
        <f>LN('Cours Hebdo'!I77/'Cours Hebdo'!I76)</f>
        <v>4.7889905798365745E-2</v>
      </c>
      <c r="J77" s="23">
        <f>LN('Cours Hebdo'!J77/'Cours Hebdo'!J76)</f>
        <v>2.5174170679874191E-2</v>
      </c>
    </row>
    <row r="78" spans="1:10">
      <c r="A78" s="4">
        <v>45996</v>
      </c>
      <c r="B78" s="23">
        <f>LN('Cours Hebdo'!B78/'Cours Hebdo'!B77)</f>
        <v>0</v>
      </c>
      <c r="C78" s="23">
        <f>LN('Cours Hebdo'!C78/'Cours Hebdo'!C77)</f>
        <v>-9.8164762405752917E-4</v>
      </c>
      <c r="D78" s="23">
        <f>LN('Cours Hebdo'!D78/'Cours Hebdo'!D77)</f>
        <v>1.7394767533561131E-2</v>
      </c>
      <c r="E78" s="23">
        <f>LN('Cours Hebdo'!E78/'Cours Hebdo'!E77)</f>
        <v>6.3728106910701202E-2</v>
      </c>
      <c r="F78" s="23">
        <f>LN('Cours Hebdo'!F78/'Cours Hebdo'!F77)</f>
        <v>-5.4494720020632034E-2</v>
      </c>
      <c r="G78" s="23">
        <f>LN('Cours Hebdo'!G78/'Cours Hebdo'!G77)</f>
        <v>-2.0547761698626751E-3</v>
      </c>
      <c r="H78" s="23">
        <f>LN('Cours Hebdo'!H78/'Cours Hebdo'!H77)</f>
        <v>3.1065405676197477E-3</v>
      </c>
      <c r="I78" s="23">
        <f>LN('Cours Hebdo'!I78/'Cours Hebdo'!I77)</f>
        <v>9.0509402554786855E-3</v>
      </c>
      <c r="J78" s="23">
        <f>LN('Cours Hebdo'!J78/'Cours Hebdo'!J77)</f>
        <v>4.0512985306722033E-3</v>
      </c>
    </row>
    <row r="79" spans="1:10">
      <c r="A79" s="4">
        <v>46003</v>
      </c>
      <c r="B79" s="23">
        <f>LN('Cours Hebdo'!B79/'Cours Hebdo'!B78)</f>
        <v>5.5132070694716297E-2</v>
      </c>
      <c r="C79" s="23">
        <f>LN('Cours Hebdo'!C79/'Cours Hebdo'!C78)</f>
        <v>-5.6997114373163928E-3</v>
      </c>
      <c r="D79" s="23">
        <f>LN('Cours Hebdo'!D79/'Cours Hebdo'!D78)</f>
        <v>1.1657880895960052E-2</v>
      </c>
      <c r="E79" s="23">
        <f>LN('Cours Hebdo'!E79/'Cours Hebdo'!E78)</f>
        <v>2.0371046548077115E-2</v>
      </c>
      <c r="F79" s="23">
        <f>LN('Cours Hebdo'!F79/'Cours Hebdo'!F78)</f>
        <v>8.5192707530837949E-2</v>
      </c>
      <c r="G79" s="23">
        <f>LN('Cours Hebdo'!G79/'Cours Hebdo'!G78)</f>
        <v>-5.6108212946369411E-2</v>
      </c>
      <c r="H79" s="23">
        <f>LN('Cours Hebdo'!H79/'Cours Hebdo'!H78)</f>
        <v>-6.2768993083585096E-3</v>
      </c>
      <c r="I79" s="23">
        <f>LN('Cours Hebdo'!I79/'Cours Hebdo'!I78)</f>
        <v>-1.6375559942633271E-2</v>
      </c>
      <c r="J79" s="23">
        <f>LN('Cours Hebdo'!J79/'Cours Hebdo'!J78)</f>
        <v>-9.1620526957982842E-4</v>
      </c>
    </row>
    <row r="80" spans="1:10">
      <c r="A80" s="4">
        <v>46010</v>
      </c>
      <c r="B80" s="23">
        <f>LN('Cours Hebdo'!B80/'Cours Hebdo'!B79)</f>
        <v>-6.7352182029491531E-2</v>
      </c>
      <c r="C80" s="23">
        <f>LN('Cours Hebdo'!C80/'Cours Hebdo'!C79)</f>
        <v>1.0204745230418073E-2</v>
      </c>
      <c r="D80" s="23">
        <f>LN('Cours Hebdo'!D80/'Cours Hebdo'!D79)</f>
        <v>-1.4247911239769363E-2</v>
      </c>
      <c r="E80" s="23">
        <f>LN('Cours Hebdo'!E80/'Cours Hebdo'!E79)</f>
        <v>2.5876777617013728E-2</v>
      </c>
      <c r="F80" s="23">
        <f>LN('Cours Hebdo'!F80/'Cours Hebdo'!F79)</f>
        <v>8.2112286731785902E-3</v>
      </c>
      <c r="G80" s="23">
        <f>LN('Cours Hebdo'!G80/'Cours Hebdo'!G79)</f>
        <v>6.8469794688615334E-3</v>
      </c>
      <c r="H80" s="23">
        <f>LN('Cours Hebdo'!H80/'Cours Hebdo'!H79)</f>
        <v>1.0378994306603454E-3</v>
      </c>
      <c r="I80" s="23">
        <f>LN('Cours Hebdo'!I80/'Cours Hebdo'!I79)</f>
        <v>4.8362448873403019E-3</v>
      </c>
      <c r="J80" s="23">
        <f>LN('Cours Hebdo'!J80/'Cours Hebdo'!J79)</f>
        <v>1.5887255502982856E-2</v>
      </c>
    </row>
    <row r="81" spans="1:10">
      <c r="A81" s="4">
        <v>46017</v>
      </c>
      <c r="B81" s="23">
        <f>LN('Cours Hebdo'!B81/'Cours Hebdo'!B80)</f>
        <v>-2.0704673361691166E-2</v>
      </c>
      <c r="C81" s="23">
        <f>LN('Cours Hebdo'!C81/'Cours Hebdo'!C80)</f>
        <v>-5.8812747103414208E-3</v>
      </c>
      <c r="D81" s="23">
        <f>LN('Cours Hebdo'!D81/'Cours Hebdo'!D80)</f>
        <v>-1.3841149633703523E-3</v>
      </c>
      <c r="E81" s="23">
        <f>LN('Cours Hebdo'!E81/'Cours Hebdo'!E80)</f>
        <v>-1.348820028525516E-2</v>
      </c>
      <c r="F81" s="23">
        <f>LN('Cours Hebdo'!F81/'Cours Hebdo'!F80)</f>
        <v>2.3476182860403462E-2</v>
      </c>
      <c r="G81" s="23">
        <f>LN('Cours Hebdo'!G81/'Cours Hebdo'!G80)</f>
        <v>-5.4738802941410539E-3</v>
      </c>
      <c r="H81" s="23">
        <f>LN('Cours Hebdo'!H81/'Cours Hebdo'!H80)</f>
        <v>1.3867832089942694E-2</v>
      </c>
      <c r="I81" s="23">
        <f>LN('Cours Hebdo'!I81/'Cours Hebdo'!I80)</f>
        <v>1.2173970982377637E-2</v>
      </c>
      <c r="J81" s="23">
        <f>LN('Cours Hebdo'!J81/'Cours Hebdo'!J80)</f>
        <v>2.0913952840770139E-3</v>
      </c>
    </row>
    <row r="82" spans="1:10">
      <c r="A82" s="4">
        <v>46024</v>
      </c>
      <c r="B82" s="23">
        <f>LN('Cours Hebdo'!B82/'Cours Hebdo'!B81)</f>
        <v>1.6597891409037831E-2</v>
      </c>
      <c r="C82" s="23">
        <f>LN('Cours Hebdo'!C82/'Cours Hebdo'!C81)</f>
        <v>1.124388349677654E-2</v>
      </c>
      <c r="D82" s="23">
        <f>LN('Cours Hebdo'!D82/'Cours Hebdo'!D81)</f>
        <v>-7.1394837382610765E-2</v>
      </c>
      <c r="E82" s="23">
        <f>LN('Cours Hebdo'!E82/'Cours Hebdo'!E81)</f>
        <v>-8.834549862456853E-2</v>
      </c>
      <c r="F82" s="23">
        <f>LN('Cours Hebdo'!F82/'Cours Hebdo'!F81)</f>
        <v>-6.441178855270234E-2</v>
      </c>
      <c r="G82" s="23">
        <f>LN('Cours Hebdo'!G82/'Cours Hebdo'!G81)</f>
        <v>-5.2588055178658874E-2</v>
      </c>
      <c r="H82" s="23">
        <f>LN('Cours Hebdo'!H82/'Cours Hebdo'!H81)</f>
        <v>-1.0366730582724176E-2</v>
      </c>
      <c r="I82" s="23">
        <f>LN('Cours Hebdo'!I82/'Cours Hebdo'!I81)</f>
        <v>-1.5267366422327299E-2</v>
      </c>
      <c r="J82" s="23">
        <f>LN('Cours Hebdo'!J82/'Cours Hebdo'!J81)</f>
        <v>6.8557433415529431E-3</v>
      </c>
    </row>
    <row r="83" spans="1:10">
      <c r="A83" s="4">
        <v>46031</v>
      </c>
      <c r="B83" s="23">
        <f>LN('Cours Hebdo'!B83/'Cours Hebdo'!B82)</f>
        <v>-5.4982134417353057E-2</v>
      </c>
      <c r="C83" s="23">
        <f>LN('Cours Hebdo'!C83/'Cours Hebdo'!C82)</f>
        <v>2.015854468400272E-2</v>
      </c>
      <c r="D83" s="23">
        <f>LN('Cours Hebdo'!D83/'Cours Hebdo'!D82)</f>
        <v>5.0930665708176691E-2</v>
      </c>
      <c r="E83" s="23">
        <f>LN('Cours Hebdo'!E83/'Cours Hebdo'!E82)</f>
        <v>7.4672876438627911E-2</v>
      </c>
      <c r="F83" s="23">
        <f>LN('Cours Hebdo'!F83/'Cours Hebdo'!F82)</f>
        <v>3.7815481373424414E-2</v>
      </c>
      <c r="G83" s="23">
        <f>LN('Cours Hebdo'!G83/'Cours Hebdo'!G82)</f>
        <v>7.5871263359899424E-2</v>
      </c>
      <c r="H83" s="23">
        <f>LN('Cours Hebdo'!H83/'Cours Hebdo'!H82)</f>
        <v>1.5596919411679297E-2</v>
      </c>
      <c r="I83" s="23">
        <f>LN('Cours Hebdo'!I83/'Cours Hebdo'!I82)</f>
        <v>1.8578526196169391E-2</v>
      </c>
      <c r="J83" s="23">
        <f>LN('Cours Hebdo'!J83/'Cours Hebdo'!J82)</f>
        <v>2.8094414501125452E-2</v>
      </c>
    </row>
    <row r="84" spans="1:10">
      <c r="A84" s="4">
        <v>46038</v>
      </c>
      <c r="B84" s="23">
        <f>LN('Cours Hebdo'!B84/'Cours Hebdo'!B83)</f>
        <v>-7.6787143213770281E-2</v>
      </c>
      <c r="C84" s="23">
        <f>LN('Cours Hebdo'!C84/'Cours Hebdo'!C83)</f>
        <v>-1.241207513918677E-2</v>
      </c>
      <c r="D84" s="23">
        <f>LN('Cours Hebdo'!D84/'Cours Hebdo'!D83)</f>
        <v>-7.2166026289268104E-2</v>
      </c>
      <c r="E84" s="23">
        <f>LN('Cours Hebdo'!E84/'Cours Hebdo'!E83)</f>
        <v>-0.15623314505142308</v>
      </c>
      <c r="F84" s="23">
        <f>LN('Cours Hebdo'!F84/'Cours Hebdo'!F83)</f>
        <v>-5.4175749003185773E-2</v>
      </c>
      <c r="G84" s="23">
        <f>LN('Cours Hebdo'!G84/'Cours Hebdo'!G83)</f>
        <v>-4.3264189902714328E-2</v>
      </c>
      <c r="H84" s="23">
        <f>LN('Cours Hebdo'!H84/'Cours Hebdo'!H83)</f>
        <v>-3.7781538611688769E-3</v>
      </c>
      <c r="I84" s="23">
        <f>LN('Cours Hebdo'!I84/'Cours Hebdo'!I83)</f>
        <v>-6.6103126217923105E-3</v>
      </c>
      <c r="J84" s="23">
        <f>LN('Cours Hebdo'!J84/'Cours Hebdo'!J83)</f>
        <v>7.6958380227738895E-3</v>
      </c>
    </row>
    <row r="85" spans="1:10">
      <c r="A85" s="4">
        <v>46045</v>
      </c>
      <c r="B85" s="23">
        <f>LN('Cours Hebdo'!B85/'Cours Hebdo'!B84)</f>
        <v>-0.15728547863262976</v>
      </c>
      <c r="C85" s="23">
        <f>LN('Cours Hebdo'!C85/'Cours Hebdo'!C84)</f>
        <v>-1.4131523302991847E-2</v>
      </c>
      <c r="D85" s="23">
        <f>LN('Cours Hebdo'!D85/'Cours Hebdo'!D84)</f>
        <v>8.1339763985983325E-3</v>
      </c>
      <c r="E85" s="23">
        <f>LN('Cours Hebdo'!E85/'Cours Hebdo'!E84)</f>
        <v>3.8931845696302501E-2</v>
      </c>
      <c r="F85" s="23">
        <f>LN('Cours Hebdo'!F85/'Cours Hebdo'!F84)</f>
        <v>2.0597015663249229E-3</v>
      </c>
      <c r="G85" s="23">
        <f>LN('Cours Hebdo'!G85/'Cours Hebdo'!G84)</f>
        <v>-5.1219602065776554E-2</v>
      </c>
      <c r="H85" s="23">
        <f>LN('Cours Hebdo'!H85/'Cours Hebdo'!H84)</f>
        <v>-3.5220261843166155E-3</v>
      </c>
      <c r="I85" s="23">
        <f>LN('Cours Hebdo'!I85/'Cours Hebdo'!I84)</f>
        <v>-6.0193130786308831E-4</v>
      </c>
      <c r="J85" s="23">
        <f>LN('Cours Hebdo'!J85/'Cours Hebdo'!J84)</f>
        <v>-9.8796568298084291E-3</v>
      </c>
    </row>
    <row r="86" spans="1:10">
      <c r="A86" s="4">
        <v>46052</v>
      </c>
      <c r="B86" s="23">
        <f>LN('Cours Hebdo'!B86/'Cours Hebdo'!B85)</f>
        <v>-0.15736095545750656</v>
      </c>
      <c r="C86" s="23">
        <f>LN('Cours Hebdo'!C86/'Cours Hebdo'!C85)</f>
        <v>-2.0307869810077227E-3</v>
      </c>
      <c r="D86" s="23">
        <f>LN('Cours Hebdo'!D86/'Cours Hebdo'!D85)</f>
        <v>-0.13299327459462412</v>
      </c>
      <c r="E86" s="23">
        <f>LN('Cours Hebdo'!E86/'Cours Hebdo'!E85)</f>
        <v>-0.11538658693131421</v>
      </c>
      <c r="F86" s="23">
        <f>LN('Cours Hebdo'!F86/'Cours Hebdo'!F85)</f>
        <v>-0.12942456140774902</v>
      </c>
      <c r="G86" s="23">
        <f>LN('Cours Hebdo'!G86/'Cours Hebdo'!G85)</f>
        <v>-5.5801497978644213E-2</v>
      </c>
      <c r="H86" s="23">
        <f>LN('Cours Hebdo'!H86/'Cours Hebdo'!H85)</f>
        <v>3.3808088519799366E-3</v>
      </c>
      <c r="I86" s="23">
        <f>LN('Cours Hebdo'!I86/'Cours Hebdo'!I85)</f>
        <v>-1.6787632949762123E-3</v>
      </c>
      <c r="J86" s="23">
        <f>LN('Cours Hebdo'!J86/'Cours Hebdo'!J85)</f>
        <v>4.3629788335605487E-3</v>
      </c>
    </row>
    <row r="87" spans="1:10">
      <c r="A87" s="4">
        <v>46059</v>
      </c>
      <c r="B87" s="23">
        <f>LN('Cours Hebdo'!B87/'Cours Hebdo'!B86)</f>
        <v>-9.78858412411205E-2</v>
      </c>
      <c r="C87" s="23">
        <f>LN('Cours Hebdo'!C87/'Cours Hebdo'!C86)</f>
        <v>1.7964719539998199E-2</v>
      </c>
      <c r="D87" s="23">
        <f>LN('Cours Hebdo'!D87/'Cours Hebdo'!D86)</f>
        <v>-5.8032285345017351E-2</v>
      </c>
      <c r="E87" s="23">
        <f>LN('Cours Hebdo'!E87/'Cours Hebdo'!E86)</f>
        <v>0.12544926280141253</v>
      </c>
      <c r="F87" s="23">
        <f>LN('Cours Hebdo'!F87/'Cours Hebdo'!F86)</f>
        <v>-0.16238121784882451</v>
      </c>
      <c r="G87" s="23">
        <f>LN('Cours Hebdo'!G87/'Cours Hebdo'!G86)</f>
        <v>-9.7715020943652947E-2</v>
      </c>
      <c r="H87" s="23">
        <f>LN('Cours Hebdo'!H87/'Cours Hebdo'!H86)</f>
        <v>-9.7034403994527023E-4</v>
      </c>
      <c r="I87" s="23">
        <f>LN('Cours Hebdo'!I87/'Cours Hebdo'!I86)</f>
        <v>-1.8524139070344846E-2</v>
      </c>
      <c r="J87" s="23">
        <f>LN('Cours Hebdo'!J87/'Cours Hebdo'!J86)</f>
        <v>9.9665273760645521E-3</v>
      </c>
    </row>
    <row r="88" spans="1:10">
      <c r="A88" s="4">
        <v>46066</v>
      </c>
      <c r="B88" s="23">
        <f>LN('Cours Hebdo'!B88/'Cours Hebdo'!B87)</f>
        <v>-0.12847832477313137</v>
      </c>
      <c r="C88" s="23">
        <f>LN('Cours Hebdo'!C88/'Cours Hebdo'!C87)</f>
        <v>4.5702901456544272E-3</v>
      </c>
      <c r="D88" s="23">
        <f>LN('Cours Hebdo'!D88/'Cours Hebdo'!D87)</f>
        <v>-0.12726335793623059</v>
      </c>
      <c r="E88" s="23">
        <f>LN('Cours Hebdo'!E88/'Cours Hebdo'!E87)</f>
        <v>-4.066018111943466E-2</v>
      </c>
      <c r="F88" s="23">
        <f>LN('Cours Hebdo'!F88/'Cours Hebdo'!F87)</f>
        <v>-0.11736991466752322</v>
      </c>
      <c r="G88" s="23">
        <f>LN('Cours Hebdo'!G88/'Cours Hebdo'!G87)</f>
        <v>-0.12034534398016646</v>
      </c>
      <c r="H88" s="23">
        <f>LN('Cours Hebdo'!H88/'Cours Hebdo'!H87)</f>
        <v>-1.3963998436007078E-2</v>
      </c>
      <c r="I88" s="23">
        <f>LN('Cours Hebdo'!I88/'Cours Hebdo'!I87)</f>
        <v>-2.126291358430496E-2</v>
      </c>
      <c r="J88" s="23">
        <f>LN('Cours Hebdo'!J88/'Cours Hebdo'!J87)</f>
        <v>9.3943591626426104E-4</v>
      </c>
    </row>
    <row r="89" spans="1:10">
      <c r="A89" s="4">
        <v>46073</v>
      </c>
      <c r="B89" s="23">
        <f>LN('Cours Hebdo'!B89/'Cours Hebdo'!B88)</f>
        <v>-3.6965194233471471E-2</v>
      </c>
      <c r="C89" s="23">
        <f>LN('Cours Hebdo'!C89/'Cours Hebdo'!C88)</f>
        <v>2.4217884061507482E-2</v>
      </c>
      <c r="D89" s="23">
        <f>LN('Cours Hebdo'!D89/'Cours Hebdo'!D88)</f>
        <v>-6.5834335269841462E-2</v>
      </c>
      <c r="E89" s="23">
        <f>LN('Cours Hebdo'!E89/'Cours Hebdo'!E88)</f>
        <v>-1.695503423284913E-2</v>
      </c>
      <c r="F89" s="23">
        <f>LN('Cours Hebdo'!F89/'Cours Hebdo'!F88)</f>
        <v>-3.2748487940743774E-2</v>
      </c>
      <c r="G89" s="23">
        <f>LN('Cours Hebdo'!G89/'Cours Hebdo'!G88)</f>
        <v>-8.1063997340247908E-3</v>
      </c>
      <c r="H89" s="23">
        <f>LN('Cours Hebdo'!H89/'Cours Hebdo'!H88)</f>
        <v>1.0671067762430913E-2</v>
      </c>
      <c r="I89" s="23">
        <f>LN('Cours Hebdo'!I89/'Cours Hebdo'!I88)</f>
        <v>1.4941062445170652E-2</v>
      </c>
      <c r="J89" s="23">
        <f>LN('Cours Hebdo'!J89/'Cours Hebdo'!J88)</f>
        <v>2.0605387110962822E-2</v>
      </c>
    </row>
    <row r="90" spans="1:10">
      <c r="A90" s="4">
        <v>46080</v>
      </c>
      <c r="B90" s="23">
        <f>LN('Cours Hebdo'!B90/'Cours Hebdo'!B89)</f>
        <v>-3.838424300831534E-2</v>
      </c>
      <c r="C90" s="23">
        <f>LN('Cours Hebdo'!C90/'Cours Hebdo'!C89)</f>
        <v>7.6344367767547019E-3</v>
      </c>
      <c r="D90" s="23">
        <f>LN('Cours Hebdo'!D90/'Cours Hebdo'!D89)</f>
        <v>-2.5211461556146984E-2</v>
      </c>
      <c r="E90" s="23">
        <f>LN('Cours Hebdo'!E90/'Cours Hebdo'!E89)</f>
        <v>-3.7265969283652597E-2</v>
      </c>
      <c r="F90" s="23">
        <f>LN('Cours Hebdo'!F90/'Cours Hebdo'!F89)</f>
        <v>3.2748487940743885E-2</v>
      </c>
      <c r="G90" s="23">
        <f>LN('Cours Hebdo'!G90/'Cours Hebdo'!G89)</f>
        <v>2.4388520872234685E-3</v>
      </c>
      <c r="H90" s="23">
        <f>LN('Cours Hebdo'!H90/'Cours Hebdo'!H89)</f>
        <v>-4.4428586625475221E-3</v>
      </c>
      <c r="I90" s="23">
        <f>LN('Cours Hebdo'!I90/'Cours Hebdo'!I89)</f>
        <v>-9.5648984010387392E-3</v>
      </c>
      <c r="J90" s="23">
        <f>LN('Cours Hebdo'!J90/'Cours Hebdo'!J89)</f>
        <v>5.2039852927499314E-3</v>
      </c>
    </row>
    <row r="91" spans="1:10">
      <c r="A91" s="4">
        <v>46087</v>
      </c>
      <c r="B91" s="23">
        <f>LN('Cours Hebdo'!B91/'Cours Hebdo'!B90)</f>
        <v>0.13026519483790155</v>
      </c>
      <c r="C91" s="23">
        <f>LN('Cours Hebdo'!C91/'Cours Hebdo'!C90)</f>
        <v>-7.0893832540715337E-2</v>
      </c>
      <c r="D91" s="23">
        <f>LN('Cours Hebdo'!D91/'Cours Hebdo'!D90)</f>
        <v>5.8402685656957005E-2</v>
      </c>
      <c r="E91" s="23">
        <f>LN('Cours Hebdo'!E91/'Cours Hebdo'!E90)</f>
        <v>1.2281120163158906E-2</v>
      </c>
      <c r="F91" s="23">
        <f>LN('Cours Hebdo'!F91/'Cours Hebdo'!F90)</f>
        <v>4.1268011375455951E-2</v>
      </c>
      <c r="G91" s="23">
        <f>LN('Cours Hebdo'!G91/'Cours Hebdo'!G90)</f>
        <v>5.2510474990353551E-2</v>
      </c>
      <c r="H91" s="23">
        <f>LN('Cours Hebdo'!H91/'Cours Hebdo'!H90)</f>
        <v>-2.0392935783227331E-2</v>
      </c>
      <c r="I91" s="23">
        <f>LN('Cours Hebdo'!I91/'Cours Hebdo'!I90)</f>
        <v>-1.2452750185926922E-2</v>
      </c>
      <c r="J91" s="23">
        <f>LN('Cours Hebdo'!J91/'Cours Hebdo'!J90)</f>
        <v>-5.7068355854099535E-2</v>
      </c>
    </row>
    <row r="92" spans="1:10">
      <c r="A92" s="4">
        <v>46094</v>
      </c>
      <c r="B92" s="23">
        <f>LN('Cours Hebdo'!B92/'Cours Hebdo'!B91)</f>
        <v>7.3562567177016647E-2</v>
      </c>
      <c r="C92" s="23">
        <f>LN('Cours Hebdo'!C92/'Cours Hebdo'!C91)</f>
        <v>-1.0306327763947621E-2</v>
      </c>
      <c r="D92" s="23">
        <f>LN('Cours Hebdo'!D92/'Cours Hebdo'!D91)</f>
        <v>-1.3198787264932335E-2</v>
      </c>
      <c r="E92" s="23">
        <f>LN('Cours Hebdo'!E92/'Cours Hebdo'!E91)</f>
        <v>-0.12437931803322269</v>
      </c>
      <c r="F92" s="23">
        <f>LN('Cours Hebdo'!F92/'Cours Hebdo'!F91)</f>
        <v>-0.10986264401332184</v>
      </c>
      <c r="G92" s="23">
        <f>LN('Cours Hebdo'!G92/'Cours Hebdo'!G91)</f>
        <v>-5.2348125044845074E-2</v>
      </c>
      <c r="H92" s="23">
        <f>LN('Cours Hebdo'!H92/'Cours Hebdo'!H91)</f>
        <v>-1.6127837614129871E-2</v>
      </c>
      <c r="I92" s="23">
        <f>LN('Cours Hebdo'!I92/'Cours Hebdo'!I91)</f>
        <v>-1.2690708816870686E-2</v>
      </c>
      <c r="J92" s="23">
        <f>LN('Cours Hebdo'!J92/'Cours Hebdo'!J91)</f>
        <v>-4.7550224502274007E-3</v>
      </c>
    </row>
    <row r="93" spans="1:10">
      <c r="A93" s="4">
        <v>46101</v>
      </c>
      <c r="B93" s="23">
        <f>LN('Cours Hebdo'!B93/'Cours Hebdo'!B92)</f>
        <v>-3.5524016043677721E-3</v>
      </c>
      <c r="C93" s="23">
        <f>LN('Cours Hebdo'!C93/'Cours Hebdo'!C92)</f>
        <v>-3.1575750472981168E-2</v>
      </c>
      <c r="D93" s="23">
        <f>LN('Cours Hebdo'!D93/'Cours Hebdo'!D92)</f>
        <v>5.8708776723143494E-2</v>
      </c>
      <c r="E93" s="23">
        <f>LN('Cours Hebdo'!E93/'Cours Hebdo'!E92)</f>
        <v>1.5067194978433452E-3</v>
      </c>
      <c r="F93" s="23">
        <f>LN('Cours Hebdo'!F93/'Cours Hebdo'!F92)</f>
        <v>8.5894229160301452E-3</v>
      </c>
      <c r="G93" s="23">
        <f>LN('Cours Hebdo'!G93/'Cours Hebdo'!G92)</f>
        <v>-1.3897034925196099E-2</v>
      </c>
      <c r="H93" s="23">
        <f>LN('Cours Hebdo'!H93/'Cours Hebdo'!H92)</f>
        <v>-1.9136457183628806E-2</v>
      </c>
      <c r="I93" s="23">
        <f>LN('Cours Hebdo'!I93/'Cours Hebdo'!I92)</f>
        <v>-2.0925057906533553E-2</v>
      </c>
      <c r="J93" s="23">
        <f>LN('Cours Hebdo'!J93/'Cours Hebdo'!J92)</f>
        <v>-3.86146119027133E-2</v>
      </c>
    </row>
    <row r="94" spans="1:10">
      <c r="A94" s="4">
        <v>46108</v>
      </c>
      <c r="B94" s="23">
        <f>LN('Cours Hebdo'!B94/'Cours Hebdo'!B93)</f>
        <v>-5.4858360552046743E-2</v>
      </c>
      <c r="C94" s="23">
        <f>LN('Cours Hebdo'!C94/'Cours Hebdo'!C93)</f>
        <v>4.7281574207944793E-3</v>
      </c>
      <c r="D94" s="23">
        <f>LN('Cours Hebdo'!D94/'Cours Hebdo'!D93)</f>
        <v>-8.1471361805856887E-2</v>
      </c>
      <c r="E94" s="23">
        <f>LN('Cours Hebdo'!E94/'Cours Hebdo'!E93)</f>
        <v>-7.4204454301436407E-2</v>
      </c>
      <c r="F94" s="23">
        <f>LN('Cours Hebdo'!F94/'Cours Hebdo'!F93)</f>
        <v>-8.1524038617935529E-2</v>
      </c>
      <c r="G94" s="23">
        <f>LN('Cours Hebdo'!G94/'Cours Hebdo'!G93)</f>
        <v>-4.9094783418394815E-2</v>
      </c>
      <c r="H94" s="23">
        <f>LN('Cours Hebdo'!H94/'Cours Hebdo'!H93)</f>
        <v>-2.1379665511558028E-2</v>
      </c>
      <c r="I94" s="23">
        <f>LN('Cours Hebdo'!I94/'Cours Hebdo'!I93)</f>
        <v>-3.2834695027741299E-2</v>
      </c>
      <c r="J94" s="23">
        <f>LN('Cours Hebdo'!J94/'Cours Hebdo'!J93)</f>
        <v>3.5173179901017621E-3</v>
      </c>
    </row>
    <row r="95" spans="1:10">
      <c r="A95" s="4">
        <v>46115</v>
      </c>
      <c r="B95" s="23">
        <f>LN('Cours Hebdo'!B95/'Cours Hebdo'!B94)</f>
        <v>0.12693070859317065</v>
      </c>
      <c r="C95" s="23">
        <f>LN('Cours Hebdo'!C95/'Cours Hebdo'!C94)</f>
        <v>3.3255654306575691E-2</v>
      </c>
      <c r="D95" s="23">
        <f>LN('Cours Hebdo'!D95/'Cours Hebdo'!D94)</f>
        <v>6.6354038854783901E-3</v>
      </c>
      <c r="E95" s="23">
        <f>LN('Cours Hebdo'!E95/'Cours Hebdo'!E94)</f>
        <v>4.3111291683854608E-2</v>
      </c>
      <c r="F95" s="23">
        <f>LN('Cours Hebdo'!F95/'Cours Hebdo'!F94)</f>
        <v>0.19930710913083624</v>
      </c>
      <c r="G95" s="23">
        <f>LN('Cours Hebdo'!G95/'Cours Hebdo'!G94)</f>
        <v>3.6836858389261359E-2</v>
      </c>
      <c r="H95" s="23">
        <f>LN('Cours Hebdo'!H95/'Cours Hebdo'!H94)</f>
        <v>3.3024532616438992E-2</v>
      </c>
      <c r="I95" s="23">
        <f>LN('Cours Hebdo'!I95/'Cours Hebdo'!I94)</f>
        <v>4.3475153574631706E-2</v>
      </c>
      <c r="J95" s="23">
        <f>LN('Cours Hebdo'!J95/'Cours Hebdo'!J94)</f>
        <v>3.6405541297730402E-2</v>
      </c>
    </row>
    <row r="96" spans="1:10">
      <c r="A96" s="4">
        <v>46122</v>
      </c>
      <c r="B96" s="23">
        <f>LN('Cours Hebdo'!B96/'Cours Hebdo'!B95)</f>
        <v>6.4124528169538564E-2</v>
      </c>
      <c r="C96" s="23">
        <f>LN('Cours Hebdo'!C96/'Cours Hebdo'!C95)</f>
        <v>3.6646889699976287E-2</v>
      </c>
      <c r="D96" s="23">
        <f>LN('Cours Hebdo'!D96/'Cours Hebdo'!D95)</f>
        <v>-0.18072459118852266</v>
      </c>
      <c r="E96" s="23">
        <f>LN('Cours Hebdo'!E96/'Cours Hebdo'!E95)</f>
        <v>-0.10700140083085619</v>
      </c>
      <c r="F96" s="23">
        <f>LN('Cours Hebdo'!F96/'Cours Hebdo'!F95)</f>
        <v>2.0261206553108386E-2</v>
      </c>
      <c r="G96" s="23">
        <f>LN('Cours Hebdo'!G96/'Cours Hebdo'!G95)</f>
        <v>-0.1362016095235726</v>
      </c>
      <c r="H96" s="23">
        <f>LN('Cours Hebdo'!H96/'Cours Hebdo'!H95)</f>
        <v>3.4959908692291111E-2</v>
      </c>
      <c r="I96" s="23">
        <f>LN('Cours Hebdo'!I96/'Cours Hebdo'!I95)</f>
        <v>4.5727645339599297E-2</v>
      </c>
      <c r="J96" s="23">
        <f>LN('Cours Hebdo'!J96/'Cours Hebdo'!J95)</f>
        <v>3.0064951087093918E-2</v>
      </c>
    </row>
    <row r="97" spans="1:10">
      <c r="A97" s="4">
        <v>46129</v>
      </c>
      <c r="B97" s="23">
        <f>LN('Cours Hebdo'!B97/'Cours Hebdo'!B96)</f>
        <v>-4.445176257083381E-2</v>
      </c>
      <c r="C97" s="23">
        <f>LN('Cours Hebdo'!C97/'Cours Hebdo'!C96)</f>
        <v>1.9842779560433246E-2</v>
      </c>
      <c r="D97" s="23">
        <f>LN('Cours Hebdo'!D97/'Cours Hebdo'!D96)</f>
        <v>3.9487307768422672E-2</v>
      </c>
      <c r="E97" s="23">
        <f>LN('Cours Hebdo'!E97/'Cours Hebdo'!E96)</f>
        <v>0.11165017726857022</v>
      </c>
      <c r="F97" s="23">
        <f>LN('Cours Hebdo'!F97/'Cours Hebdo'!F96)</f>
        <v>5.6266487109613982E-2</v>
      </c>
      <c r="G97" s="23">
        <f>LN('Cours Hebdo'!G97/'Cours Hebdo'!G96)</f>
        <v>9.0855510417802945E-2</v>
      </c>
      <c r="H97" s="23">
        <f>LN('Cours Hebdo'!H97/'Cours Hebdo'!H96)</f>
        <v>4.4355119065473743E-2</v>
      </c>
      <c r="I97" s="23">
        <f>LN('Cours Hebdo'!I97/'Cours Hebdo'!I96)</f>
        <v>6.6122647044708605E-2</v>
      </c>
      <c r="J97" s="23">
        <f>LN('Cours Hebdo'!J97/'Cours Hebdo'!J96)</f>
        <v>1.8914371958788371E-2</v>
      </c>
    </row>
    <row r="98" spans="1:10">
      <c r="A98" s="4">
        <v>46136</v>
      </c>
      <c r="B98" s="23">
        <f>LN('Cours Hebdo'!B98/'Cours Hebdo'!B97)</f>
        <v>9.1761997827361372E-2</v>
      </c>
      <c r="C98" s="23">
        <f>LN('Cours Hebdo'!C98/'Cours Hebdo'!C97)</f>
        <v>-3.2241937604219374E-2</v>
      </c>
      <c r="D98" s="23">
        <f>LN('Cours Hebdo'!D98/'Cours Hebdo'!D97)</f>
        <v>-2.7998638080667118E-2</v>
      </c>
      <c r="E98" s="23">
        <f>LN('Cours Hebdo'!E98/'Cours Hebdo'!E97)</f>
        <v>-4.263810975516677E-2</v>
      </c>
      <c r="F98" s="23">
        <f>LN('Cours Hebdo'!F98/'Cours Hebdo'!F97)</f>
        <v>-4.3172105008936805E-2</v>
      </c>
      <c r="G98" s="23">
        <f>LN('Cours Hebdo'!G98/'Cours Hebdo'!G97)</f>
        <v>-7.5880329619458023E-2</v>
      </c>
      <c r="H98" s="23">
        <f>LN('Cours Hebdo'!H98/'Cours Hebdo'!H97)</f>
        <v>5.4607422671252718E-3</v>
      </c>
      <c r="I98" s="23">
        <f>LN('Cours Hebdo'!I98/'Cours Hebdo'!I97)</f>
        <v>1.4932578157927371E-2</v>
      </c>
      <c r="J98" s="23">
        <f>LN('Cours Hebdo'!J98/'Cours Hebdo'!J97)</f>
        <v>-2.5752483396763302E-2</v>
      </c>
    </row>
    <row r="99" spans="1:10">
      <c r="A99" s="4">
        <v>46143</v>
      </c>
      <c r="B99" s="23">
        <f>LN('Cours Hebdo'!B99/'Cours Hebdo'!B98)</f>
        <v>1.1841146820829945E-3</v>
      </c>
      <c r="C99" s="23">
        <f>LN('Cours Hebdo'!C99/'Cours Hebdo'!C98)</f>
        <v>-5.2824899298537916E-3</v>
      </c>
      <c r="D99" s="23">
        <f>LN('Cours Hebdo'!D99/'Cours Hebdo'!D98)</f>
        <v>0.10140362668545663</v>
      </c>
      <c r="E99" s="23">
        <f>LN('Cours Hebdo'!E99/'Cours Hebdo'!E98)</f>
        <v>4.9315030245352678E-2</v>
      </c>
      <c r="F99" s="23">
        <f>LN('Cours Hebdo'!F99/'Cours Hebdo'!F98)</f>
        <v>2.5133904006425074E-2</v>
      </c>
      <c r="G99" s="23">
        <f>LN('Cours Hebdo'!G99/'Cours Hebdo'!G98)</f>
        <v>2.9841836272045143E-2</v>
      </c>
      <c r="H99" s="23">
        <f>LN('Cours Hebdo'!H99/'Cours Hebdo'!H98)</f>
        <v>9.0364122428679781E-3</v>
      </c>
      <c r="I99" s="23">
        <f>LN('Cours Hebdo'!I99/'Cours Hebdo'!I98)</f>
        <v>1.1124601783617131E-2</v>
      </c>
      <c r="J99" s="23">
        <f>LN('Cours Hebdo'!J99/'Cours Hebdo'!J98)</f>
        <v>1.0311636688577505E-3</v>
      </c>
    </row>
    <row r="100" spans="1:10">
      <c r="A100" s="4">
        <v>46150</v>
      </c>
      <c r="B100" s="23">
        <f>LN('Cours Hebdo'!B100/'Cours Hebdo'!B99)</f>
        <v>-4.9737339199614282E-2</v>
      </c>
      <c r="C100" s="23">
        <f>LN('Cours Hebdo'!C100/'Cours Hebdo'!C99)</f>
        <v>-2.7977595839438779E-4</v>
      </c>
      <c r="D100" s="23">
        <f>LN('Cours Hebdo'!D100/'Cours Hebdo'!D99)</f>
        <v>-0.10173005819213962</v>
      </c>
      <c r="E100" s="23">
        <f>LN('Cours Hebdo'!E100/'Cours Hebdo'!E99)</f>
        <v>6.8258927971846781E-2</v>
      </c>
      <c r="F100" s="23">
        <f>LN('Cours Hebdo'!F100/'Cours Hebdo'!F99)</f>
        <v>-2.1182462555571119E-2</v>
      </c>
      <c r="G100" s="23">
        <f>LN('Cours Hebdo'!G100/'Cours Hebdo'!G99)</f>
        <v>-6.5464150517725028E-2</v>
      </c>
      <c r="H100" s="23">
        <f>LN('Cours Hebdo'!H100/'Cours Hebdo'!H99)</f>
        <v>2.3079769166834459E-2</v>
      </c>
      <c r="I100" s="23">
        <f>LN('Cours Hebdo'!I100/'Cours Hebdo'!I99)</f>
        <v>4.4111789985219058E-2</v>
      </c>
      <c r="J100" s="23">
        <f>LN('Cours Hebdo'!J100/'Cours Hebdo'!J99)</f>
        <v>1.4058711845755458E-3</v>
      </c>
    </row>
    <row r="101" spans="1:10">
      <c r="A101" s="4">
        <v>46157</v>
      </c>
      <c r="B101" s="23">
        <f>LN('Cours Hebdo'!B101/'Cours Hebdo'!B100)</f>
        <v>2.5784098177121361E-2</v>
      </c>
      <c r="C101" s="23">
        <f>LN('Cours Hebdo'!C101/'Cours Hebdo'!C100)</f>
        <v>-1.9922081592001685E-2</v>
      </c>
      <c r="D101" s="23">
        <f>LN('Cours Hebdo'!D101/'Cours Hebdo'!D100)</f>
        <v>-0.11692637233636416</v>
      </c>
      <c r="E101" s="23">
        <f>LN('Cours Hebdo'!E101/'Cours Hebdo'!E100)</f>
        <v>-4.2985912195838888E-2</v>
      </c>
      <c r="F101" s="23">
        <f>LN('Cours Hebdo'!F101/'Cours Hebdo'!F100)</f>
        <v>-0.17033729965229208</v>
      </c>
      <c r="G101" s="23">
        <f>LN('Cours Hebdo'!G101/'Cours Hebdo'!G100)</f>
        <v>-7.8873558358624696E-2</v>
      </c>
      <c r="H101" s="23">
        <f>LN('Cours Hebdo'!H101/'Cours Hebdo'!H100)</f>
        <v>1.29257074827105E-3</v>
      </c>
      <c r="I101" s="23">
        <f>LN('Cours Hebdo'!I101/'Cours Hebdo'!I100)</f>
        <v>-8.3623121375472214E-4</v>
      </c>
      <c r="J101" s="23">
        <f>LN('Cours Hebdo'!J101/'Cours Hebdo'!J100)</f>
        <v>-8.5640799522548293E-3</v>
      </c>
    </row>
    <row r="102" spans="1:10">
      <c r="A102" s="4">
        <v>46164</v>
      </c>
      <c r="B102" s="23">
        <f>LN('Cours Hebdo'!B102/'Cours Hebdo'!B101)</f>
        <v>3.8054496653322278E-2</v>
      </c>
      <c r="C102" s="23">
        <f>LN('Cours Hebdo'!C102/'Cours Hebdo'!C101)</f>
        <v>2.031401074503841E-2</v>
      </c>
      <c r="D102" s="23">
        <f>LN('Cours Hebdo'!D102/'Cours Hebdo'!D101)</f>
        <v>5.8788060809488639E-2</v>
      </c>
      <c r="E102" s="23">
        <f>LN('Cours Hebdo'!E102/'Cours Hebdo'!E101)</f>
        <v>-0.10322764875643692</v>
      </c>
      <c r="F102" s="23">
        <f>LN('Cours Hebdo'!F102/'Cours Hebdo'!F101)</f>
        <v>7.0905944489885006E-2</v>
      </c>
      <c r="G102" s="23">
        <f>LN('Cours Hebdo'!G102/'Cours Hebdo'!G101)</f>
        <v>5.9581630907239988E-2</v>
      </c>
      <c r="H102" s="23">
        <f>LN('Cours Hebdo'!H102/'Cours Hebdo'!H101)</f>
        <v>8.7314551330973517E-3</v>
      </c>
      <c r="I102" s="23">
        <f>LN('Cours Hebdo'!I102/'Cours Hebdo'!I101)</f>
        <v>4.5209164666084782E-3</v>
      </c>
      <c r="J102" s="23">
        <f>LN('Cours Hebdo'!J102/'Cours Hebdo'!J101)</f>
        <v>2.9546664997033827E-2</v>
      </c>
    </row>
    <row r="103" spans="1:10">
      <c r="A103" s="4">
        <v>46171</v>
      </c>
      <c r="B103" s="23">
        <f>LN('Cours Hebdo'!B103/'Cours Hebdo'!B102)</f>
        <v>-2.122715833392105E-2</v>
      </c>
      <c r="C103" s="23">
        <f>LN('Cours Hebdo'!C103/'Cours Hebdo'!C102)</f>
        <v>8.2937430046375864E-3</v>
      </c>
      <c r="D103" s="23">
        <f>LN('Cours Hebdo'!D103/'Cours Hebdo'!D102)</f>
        <v>1.7153079450733237E-2</v>
      </c>
      <c r="E103" s="23">
        <f>LN('Cours Hebdo'!E103/'Cours Hebdo'!E102)</f>
        <v>2.4058051235108673E-2</v>
      </c>
      <c r="F103" s="23">
        <f>LN('Cours Hebdo'!F103/'Cours Hebdo'!F102)</f>
        <v>6.2209824715407267E-4</v>
      </c>
      <c r="G103" s="23">
        <f>LN('Cours Hebdo'!G103/'Cours Hebdo'!G102)</f>
        <v>-1.0590619382321765E-2</v>
      </c>
      <c r="H103" s="23">
        <f>LN('Cours Hebdo'!H103/'Cours Hebdo'!H102)</f>
        <v>1.4161678120469937E-2</v>
      </c>
      <c r="I103" s="23">
        <f>LN('Cours Hebdo'!I103/'Cours Hebdo'!I102)</f>
        <v>2.3582812563902218E-2</v>
      </c>
      <c r="J103" s="23">
        <f>LN('Cours Hebdo'!J103/'Cours Hebdo'!J102)</f>
        <v>1.4067476043384116E-3</v>
      </c>
    </row>
    <row r="104" spans="1:10">
      <c r="A104" s="4">
        <v>46178</v>
      </c>
      <c r="B104" s="23">
        <f>LN('Cours Hebdo'!B104/'Cours Hebdo'!B103)</f>
        <v>2.4721664593471332E-2</v>
      </c>
      <c r="C104" s="23">
        <f>LN('Cours Hebdo'!C104/'Cours Hebdo'!C103)</f>
        <v>4.255741597228648E-3</v>
      </c>
      <c r="D104" s="23">
        <f>LN('Cours Hebdo'!D104/'Cours Hebdo'!D103)</f>
        <v>-2.5492244293520698E-2</v>
      </c>
      <c r="E104" s="23">
        <f>LN('Cours Hebdo'!E104/'Cours Hebdo'!E103)</f>
        <v>-2.8773027866426024E-2</v>
      </c>
      <c r="F104" s="23">
        <f>LN('Cours Hebdo'!F104/'Cours Hebdo'!F103)</f>
        <v>-7.4873659117021388E-2</v>
      </c>
      <c r="G104" s="23">
        <f>LN('Cours Hebdo'!G104/'Cours Hebdo'!G103)</f>
        <v>-1.3143404496339219E-2</v>
      </c>
      <c r="H104" s="23">
        <f>LN('Cours Hebdo'!H104/'Cours Hebdo'!H103)</f>
        <v>-2.6240805865162007E-2</v>
      </c>
      <c r="I104" s="23">
        <f>LN('Cours Hebdo'!I104/'Cours Hebdo'!I103)</f>
        <v>-4.7964407033024611E-2</v>
      </c>
      <c r="J104" s="23">
        <f>LN('Cours Hebdo'!J104/'Cours Hebdo'!J103)</f>
        <v>-5.3497908050828963E-3</v>
      </c>
    </row>
    <row r="105" spans="1:10">
      <c r="A105" s="4">
        <v>46185</v>
      </c>
      <c r="B105" s="23">
        <f>LN('Cours Hebdo'!B105/'Cours Hebdo'!B104)</f>
        <v>-4.0337634199685751E-2</v>
      </c>
      <c r="C105" s="23">
        <f>LN('Cours Hebdo'!C105/'Cours Hebdo'!C104)</f>
        <v>1.6009636345333166E-2</v>
      </c>
      <c r="D105" s="23">
        <f>LN('Cours Hebdo'!D105/'Cours Hebdo'!D104)</f>
        <v>2.4394399819452667E-3</v>
      </c>
      <c r="E105" s="23">
        <f>LN('Cours Hebdo'!E105/'Cours Hebdo'!E104)</f>
        <v>-8.0737997684351789E-2</v>
      </c>
      <c r="F105" s="23">
        <f>LN('Cours Hebdo'!F105/'Cours Hebdo'!F104)</f>
        <v>2.6456544503204615E-2</v>
      </c>
      <c r="G105" s="23">
        <f>LN('Cours Hebdo'!G105/'Cours Hebdo'!G104)</f>
        <v>-4.0791563831281174E-3</v>
      </c>
      <c r="H105" s="23">
        <f>LN('Cours Hebdo'!H105/'Cours Hebdo'!H104)</f>
        <v>6.4420177874595875E-3</v>
      </c>
      <c r="I105" s="23">
        <f>LN('Cours Hebdo'!I105/'Cours Hebdo'!I104)</f>
        <v>6.954143265029869E-3</v>
      </c>
      <c r="J105" s="23">
        <f>LN('Cours Hebdo'!J105/'Cours Hebdo'!J104)</f>
        <v>1.680157508604508E-2</v>
      </c>
    </row>
    <row r="106" spans="1:10">
      <c r="A106" s="4">
        <v>46192</v>
      </c>
      <c r="B106" s="23">
        <f>LN('Cours Hebdo'!B106/'Cours Hebdo'!B105)</f>
        <v>-3.1983027379940368E-2</v>
      </c>
      <c r="C106" s="23">
        <f>LN('Cours Hebdo'!C106/'Cours Hebdo'!C105)</f>
        <v>8.3794301810219893E-3</v>
      </c>
      <c r="D106" s="23">
        <f>LN('Cours Hebdo'!D106/'Cours Hebdo'!D105)</f>
        <v>-7.0659982425762963E-2</v>
      </c>
      <c r="E106" s="23">
        <f>LN('Cours Hebdo'!E106/'Cours Hebdo'!E105)</f>
        <v>-2.1630670250328016E-2</v>
      </c>
      <c r="F106" s="23">
        <f>LN('Cours Hebdo'!F106/'Cours Hebdo'!F105)</f>
        <v>-3.453195073479523E-2</v>
      </c>
      <c r="G106" s="23">
        <f>LN('Cours Hebdo'!G106/'Cours Hebdo'!G105)</f>
        <v>-3.2401617150706767E-2</v>
      </c>
      <c r="H106" s="23">
        <f>LN('Cours Hebdo'!H106/'Cours Hebdo'!H105)</f>
        <v>9.2580264588738494E-3</v>
      </c>
      <c r="I106" s="23">
        <f>LN('Cours Hebdo'!I106/'Cours Hebdo'!I105)</f>
        <v>2.4009114407882656E-2</v>
      </c>
      <c r="J106" s="23">
        <f>LN('Cours Hebdo'!J106/'Cours Hebdo'!J105)</f>
        <v>3.7829892769813606E-3</v>
      </c>
    </row>
    <row r="107" spans="1:10">
      <c r="A107" s="4">
        <v>46199</v>
      </c>
      <c r="B107" s="23">
        <f>LN('Cours Hebdo'!B107/'Cours Hebdo'!B106)</f>
        <v>7.8117779263952067E-2</v>
      </c>
      <c r="C107" s="23">
        <f>LN('Cours Hebdo'!C107/'Cours Hebdo'!C106)</f>
        <v>-4.3162640108687315E-3</v>
      </c>
      <c r="D107" s="23">
        <f>LN('Cours Hebdo'!D107/'Cours Hebdo'!D106)</f>
        <v>5.6992365014585981E-2</v>
      </c>
      <c r="E107" s="23">
        <f>LN('Cours Hebdo'!E107/'Cours Hebdo'!E106)</f>
        <v>8.9779307301907266E-2</v>
      </c>
      <c r="F107" s="23">
        <f>LN('Cours Hebdo'!F107/'Cours Hebdo'!F106)</f>
        <v>5.456495809770117E-2</v>
      </c>
      <c r="G107" s="23">
        <f>LN('Cours Hebdo'!G107/'Cours Hebdo'!G106)</f>
        <v>3.4851076069738189E-2</v>
      </c>
      <c r="H107" s="23">
        <f>LN('Cours Hebdo'!H107/'Cours Hebdo'!H106)</f>
        <v>-1.9733256161772288E-2</v>
      </c>
      <c r="I107" s="23">
        <f>LN('Cours Hebdo'!I107/'Cours Hebdo'!I106)</f>
        <v>-4.7110809996470285E-2</v>
      </c>
      <c r="J107" s="23">
        <f>LN('Cours Hebdo'!J107/'Cours Hebdo'!J106)</f>
        <v>4.2472931345592495E-4</v>
      </c>
    </row>
    <row r="108" spans="1:10">
      <c r="A108" s="4">
        <v>46206</v>
      </c>
      <c r="B108" s="23">
        <f>LN('Cours Hebdo'!B108/'Cours Hebdo'!B107)</f>
        <v>3.5210889013152592E-2</v>
      </c>
      <c r="C108" s="23">
        <f>LN('Cours Hebdo'!C108/'Cours Hebdo'!C107)</f>
        <v>1.458625632943563E-2</v>
      </c>
      <c r="D108" s="23">
        <f>LN('Cours Hebdo'!D108/'Cours Hebdo'!D107)</f>
        <v>5.2915092531099939E-2</v>
      </c>
      <c r="E108" s="23">
        <f>LN('Cours Hebdo'!E108/'Cours Hebdo'!E107)</f>
        <v>0.13071208265935888</v>
      </c>
      <c r="F108" s="23">
        <f>LN('Cours Hebdo'!F108/'Cours Hebdo'!F107)</f>
        <v>0.12719336416616381</v>
      </c>
      <c r="G108" s="23">
        <f>LN('Cours Hebdo'!G108/'Cours Hebdo'!G107)</f>
        <v>5.7056493275852764E-2</v>
      </c>
      <c r="H108" s="23">
        <f>LN('Cours Hebdo'!H108/'Cours Hebdo'!H107)</f>
        <v>1.7418779462389539E-2</v>
      </c>
      <c r="I108" s="23">
        <f>LN('Cours Hebdo'!I108/'Cours Hebdo'!I107)</f>
        <v>2.0929680726220895E-2</v>
      </c>
      <c r="J108" s="23">
        <f>LN('Cours Hebdo'!J108/'Cours Hebdo'!J107)</f>
        <v>2.621500266061131E-2</v>
      </c>
    </row>
    <row r="109" spans="1:10">
      <c r="A109" s="4">
        <v>46213</v>
      </c>
      <c r="B109" s="23">
        <f>LN('Cours Hebdo'!B109/'Cours Hebdo'!B108)</f>
        <v>-2.2574322427349462E-2</v>
      </c>
      <c r="C109" s="23">
        <f>LN('Cours Hebdo'!C109/'Cours Hebdo'!C108)</f>
        <v>-2.0075486830126329E-2</v>
      </c>
      <c r="D109" s="23">
        <f>LN('Cours Hebdo'!D109/'Cours Hebdo'!D108)</f>
        <v>-2.5420790016414275E-2</v>
      </c>
      <c r="E109" s="23">
        <f>LN('Cours Hebdo'!E109/'Cours Hebdo'!E108)</f>
        <v>2.1506231286404089E-2</v>
      </c>
      <c r="F109" s="23">
        <f>LN('Cours Hebdo'!F109/'Cours Hebdo'!F108)</f>
        <v>-4.3760593709146305E-2</v>
      </c>
      <c r="G109" s="23">
        <f>LN('Cours Hebdo'!G109/'Cours Hebdo'!G108)</f>
        <v>4.6109182035499645E-3</v>
      </c>
      <c r="H109" s="23">
        <f>LN('Cours Hebdo'!H109/'Cours Hebdo'!H108)</f>
        <v>1.2238968664375004E-2</v>
      </c>
      <c r="I109" s="23">
        <f>LN('Cours Hebdo'!I109/'Cours Hebdo'!I108)</f>
        <v>1.7229464359219501E-2</v>
      </c>
      <c r="J109" s="23">
        <f>LN('Cours Hebdo'!J109/'Cours Hebdo'!J108)</f>
        <v>-1.8039463720418394E-2</v>
      </c>
    </row>
  </sheetData>
  <mergeCells count="2">
    <mergeCell ref="A1:J1"/>
    <mergeCell ref="A2:J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22"/>
  <sheetViews>
    <sheetView showGridLines="0" workbookViewId="0"/>
  </sheetViews>
  <sheetFormatPr defaultRowHeight="14.25"/>
  <cols>
    <col min="1" max="1" width="18" customWidth="1"/>
    <col min="2" max="3" width="17" customWidth="1"/>
    <col min="4" max="13" width="13" customWidth="1"/>
    <col min="14" max="14" width="18" customWidth="1"/>
  </cols>
  <sheetData>
    <row r="1" spans="1:14" ht="27.95" customHeight="1">
      <c r="A1" s="52" t="s">
        <v>99</v>
      </c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4">
      <c r="A2" s="50" t="s">
        <v>100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</row>
    <row r="4" spans="1:14" ht="21.95" customHeight="1">
      <c r="A4" s="52" t="s">
        <v>101</v>
      </c>
      <c r="B4" s="51"/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1"/>
    </row>
    <row r="5" spans="1:14" ht="27.95" customHeight="1">
      <c r="A5" s="1" t="s">
        <v>7</v>
      </c>
      <c r="B5" s="2" t="s">
        <v>102</v>
      </c>
      <c r="C5" s="2" t="s">
        <v>103</v>
      </c>
      <c r="D5" s="2" t="s">
        <v>104</v>
      </c>
      <c r="E5" s="2" t="s">
        <v>105</v>
      </c>
      <c r="F5" s="2" t="s">
        <v>106</v>
      </c>
      <c r="G5" s="2" t="s">
        <v>107</v>
      </c>
      <c r="H5" s="2" t="s">
        <v>13</v>
      </c>
      <c r="I5" s="2" t="s">
        <v>108</v>
      </c>
      <c r="J5" s="2" t="s">
        <v>109</v>
      </c>
      <c r="K5" s="2" t="s">
        <v>14</v>
      </c>
      <c r="L5" s="2" t="s">
        <v>110</v>
      </c>
      <c r="M5" s="2" t="s">
        <v>111</v>
      </c>
      <c r="N5" s="3" t="s">
        <v>112</v>
      </c>
    </row>
    <row r="6" spans="1:14">
      <c r="A6" t="s">
        <v>89</v>
      </c>
      <c r="B6" t="s">
        <v>113</v>
      </c>
      <c r="C6" t="s">
        <v>54</v>
      </c>
      <c r="D6" s="24">
        <f>COUNT(Rendements!$B$6:$B$109)</f>
        <v>104</v>
      </c>
      <c r="E6" s="26">
        <f>SLOPE(Rendements!$B$6:$B$109,Rendements!$C$6:$C$109)</f>
        <v>0.17668190948166176</v>
      </c>
      <c r="F6" s="23">
        <f>INTERCEPT(Rendements!$B$6:$B$109,Rendements!$C$6:$C$109)</f>
        <v>-1.1909252929571047E-4</v>
      </c>
      <c r="G6" s="23">
        <f>EXP(F6*52)-1</f>
        <v>-6.1736755882186856E-3</v>
      </c>
      <c r="H6" s="23">
        <f>RSQ(Rendements!$B$6:$B$109,Rendements!$C$6:$C$109)</f>
        <v>4.3860622498137916E-3</v>
      </c>
      <c r="I6" s="26">
        <f>STEYX(Rendements!$B$6:$B$109,Rendements!$C$6:$C$109)/SQRT(DEVSQ(Rendements!$C$6:$C$109))</f>
        <v>0.26357249437248348</v>
      </c>
      <c r="J6" s="28">
        <f>E6/I6</f>
        <v>0.67033515732477378</v>
      </c>
      <c r="K6" s="31">
        <v>0.50415905694758067</v>
      </c>
      <c r="L6" s="26">
        <v>-0.34611287950558822</v>
      </c>
      <c r="M6" s="26">
        <v>0.69947669846891103</v>
      </c>
      <c r="N6" t="s">
        <v>114</v>
      </c>
    </row>
    <row r="7" spans="1:14">
      <c r="A7" t="s">
        <v>90</v>
      </c>
      <c r="B7" t="s">
        <v>115</v>
      </c>
      <c r="C7" t="s">
        <v>66</v>
      </c>
      <c r="D7" s="24">
        <f>COUNT(Rendements!$D$6:$D$109)</f>
        <v>104</v>
      </c>
      <c r="E7" s="26">
        <f>SLOPE(Rendements!$D$6:$D$109,Rendements!$H$6:$H$109)</f>
        <v>0.71971998600094134</v>
      </c>
      <c r="F7" s="23">
        <f>INTERCEPT(Rendements!$D$6:$D$109,Rendements!$H$6:$H$109)</f>
        <v>-6.8722016555936277E-3</v>
      </c>
      <c r="G7" s="23">
        <f>EXP(F7*52)-1</f>
        <v>-0.30047551792096105</v>
      </c>
      <c r="H7" s="23">
        <f>RSQ(Rendements!$D$6:$D$109,Rendements!$H$6:$H$109)</f>
        <v>7.039738584191696E-2</v>
      </c>
      <c r="I7" s="26">
        <f>STEYX(Rendements!$D$6:$D$109,Rendements!$H$6:$H$109)/SQRT(DEVSQ(Rendements!$H$6:$H$109))</f>
        <v>0.25896071113435098</v>
      </c>
      <c r="J7" s="28">
        <f>E7/I7</f>
        <v>2.7792632436336824</v>
      </c>
      <c r="K7" s="31">
        <v>6.4876129782394211E-3</v>
      </c>
      <c r="L7" s="26">
        <v>0.20607264713201379</v>
      </c>
      <c r="M7" s="26">
        <v>1.233367324869866</v>
      </c>
      <c r="N7" t="s">
        <v>116</v>
      </c>
    </row>
    <row r="8" spans="1:14">
      <c r="A8" t="s">
        <v>91</v>
      </c>
      <c r="B8" t="s">
        <v>91</v>
      </c>
      <c r="C8" t="s">
        <v>66</v>
      </c>
      <c r="D8" s="24">
        <f>COUNT(Rendements!$E$6:$E$109)</f>
        <v>104</v>
      </c>
      <c r="E8" s="26">
        <f>SLOPE(Rendements!$E$6:$E$109,Rendements!$H$6:$H$109)</f>
        <v>1.527124471493801</v>
      </c>
      <c r="F8" s="23">
        <f>INTERCEPT(Rendements!$E$6:$E$109,Rendements!$H$6:$H$109)</f>
        <v>-6.4597972091204802E-3</v>
      </c>
      <c r="G8" s="23">
        <f>EXP(F8*52)-1</f>
        <v>-0.28531218561549487</v>
      </c>
      <c r="H8" s="23">
        <f>RSQ(Rendements!$E$6:$E$109,Rendements!$H$6:$H$109)</f>
        <v>0.15476871207878515</v>
      </c>
      <c r="I8" s="26">
        <f>STEYX(Rendements!$E$6:$E$109,Rendements!$H$6:$H$109)/SQRT(DEVSQ(Rendements!$H$6:$H$109))</f>
        <v>0.35336257326115705</v>
      </c>
      <c r="J8" s="28">
        <f>E8/I8</f>
        <v>4.3216927514424697</v>
      </c>
      <c r="K8" s="31">
        <v>3.6063009149524627E-5</v>
      </c>
      <c r="L8" s="26">
        <v>0.82623148808944347</v>
      </c>
      <c r="M8" s="26">
        <v>2.2280174548981582</v>
      </c>
      <c r="N8" t="s">
        <v>116</v>
      </c>
    </row>
    <row r="9" spans="1:14">
      <c r="A9" t="s">
        <v>92</v>
      </c>
      <c r="B9" t="s">
        <v>117</v>
      </c>
      <c r="C9" t="s">
        <v>66</v>
      </c>
      <c r="D9" s="24">
        <f>COUNT(Rendements!$F$6:$F$109)</f>
        <v>104</v>
      </c>
      <c r="E9" s="26">
        <f>SLOPE(Rendements!$F$6:$F$109,Rendements!$H$6:$H$109)</f>
        <v>1.5500010875974932</v>
      </c>
      <c r="F9" s="23">
        <f>INTERCEPT(Rendements!$F$6:$F$109,Rendements!$H$6:$H$109)</f>
        <v>-1.0355577298813753E-2</v>
      </c>
      <c r="G9" s="23">
        <f>EXP(F9*52)-1</f>
        <v>-0.41637114447138324</v>
      </c>
      <c r="H9" s="23">
        <f>RSQ(Rendements!$F$6:$F$109,Rendements!$H$6:$H$109)</f>
        <v>0.23482927589869074</v>
      </c>
      <c r="I9" s="26">
        <f>STEYX(Rendements!$F$6:$F$109,Rendements!$H$6:$H$109)/SQRT(DEVSQ(Rendements!$H$6:$H$109))</f>
        <v>0.27703521040833606</v>
      </c>
      <c r="J9" s="28">
        <f>E9/I9</f>
        <v>5.5949606019858233</v>
      </c>
      <c r="K9" s="31">
        <v>1.8628649536748331E-7</v>
      </c>
      <c r="L9" s="26">
        <v>1.0005030653843501</v>
      </c>
      <c r="M9" s="26">
        <v>2.0994991098106359</v>
      </c>
      <c r="N9" t="s">
        <v>116</v>
      </c>
    </row>
    <row r="10" spans="1:14">
      <c r="A10" t="s">
        <v>93</v>
      </c>
      <c r="B10" t="s">
        <v>118</v>
      </c>
      <c r="C10" t="s">
        <v>66</v>
      </c>
      <c r="D10" s="24">
        <f>COUNT(Rendements!$G$6:$G$109)</f>
        <v>104</v>
      </c>
      <c r="E10" s="26">
        <f>SLOPE(Rendements!$G$6:$G$109,Rendements!$H$6:$H$109)</f>
        <v>0.73650025919191642</v>
      </c>
      <c r="F10" s="23">
        <f>INTERCEPT(Rendements!$G$6:$G$109,Rendements!$H$6:$H$109)</f>
        <v>-5.5241916741014608E-3</v>
      </c>
      <c r="G10" s="23">
        <f>EXP(F10*52)-1</f>
        <v>-0.24968185349206418</v>
      </c>
      <c r="H10" s="23">
        <f>RSQ(Rendements!$G$6:$G$109,Rendements!$H$6:$H$109)</f>
        <v>7.2271170136433124E-2</v>
      </c>
      <c r="I10" s="26">
        <f>STEYX(Rendements!$G$6:$G$109,Rendements!$H$6:$H$109)/SQRT(DEVSQ(Rendements!$H$6:$H$109))</f>
        <v>0.26127677170548164</v>
      </c>
      <c r="J10" s="28">
        <f>E10/I10</f>
        <v>2.8188508851530045</v>
      </c>
      <c r="K10" s="31">
        <v>5.7903048145176213E-3</v>
      </c>
      <c r="L10" s="26">
        <v>0.21825902519577439</v>
      </c>
      <c r="M10" s="26">
        <v>1.2547414931880581</v>
      </c>
      <c r="N10" t="s">
        <v>116</v>
      </c>
    </row>
    <row r="11" spans="1:14">
      <c r="D11" s="24"/>
      <c r="E11" s="26"/>
      <c r="F11" s="23"/>
      <c r="G11" s="23"/>
      <c r="H11" s="23"/>
      <c r="I11" s="26"/>
      <c r="J11" s="28"/>
      <c r="K11" s="31"/>
      <c r="L11" s="26"/>
      <c r="M11" s="26"/>
    </row>
    <row r="12" spans="1:14">
      <c r="D12" s="24"/>
      <c r="E12" s="26"/>
      <c r="F12" s="23"/>
      <c r="G12" s="23"/>
      <c r="H12" s="23"/>
      <c r="I12" s="26"/>
      <c r="J12" s="28"/>
      <c r="K12" s="31"/>
      <c r="L12" s="26"/>
      <c r="M12" s="26"/>
    </row>
    <row r="13" spans="1:14" ht="21.95" customHeight="1">
      <c r="A13" s="52" t="s">
        <v>119</v>
      </c>
      <c r="B13" s="51"/>
      <c r="C13" s="51"/>
      <c r="D13" s="51"/>
      <c r="E13" s="51"/>
      <c r="F13" s="51"/>
      <c r="G13" s="51"/>
      <c r="H13" s="51"/>
      <c r="I13" s="51"/>
      <c r="J13" s="51"/>
      <c r="K13" s="51"/>
      <c r="L13" s="51"/>
      <c r="M13" s="51"/>
      <c r="N13" s="51"/>
    </row>
    <row r="14" spans="1:14" ht="27.95" customHeight="1">
      <c r="A14" s="1" t="s">
        <v>7</v>
      </c>
      <c r="B14" s="2" t="s">
        <v>102</v>
      </c>
      <c r="C14" s="2" t="s">
        <v>103</v>
      </c>
      <c r="D14" s="25" t="s">
        <v>104</v>
      </c>
      <c r="E14" s="27" t="s">
        <v>105</v>
      </c>
      <c r="F14" s="30" t="s">
        <v>106</v>
      </c>
      <c r="G14" s="30" t="s">
        <v>107</v>
      </c>
      <c r="H14" s="30" t="s">
        <v>13</v>
      </c>
      <c r="I14" s="27" t="s">
        <v>108</v>
      </c>
      <c r="J14" s="29" t="s">
        <v>109</v>
      </c>
      <c r="K14" s="32" t="s">
        <v>14</v>
      </c>
      <c r="L14" s="27" t="s">
        <v>110</v>
      </c>
      <c r="M14" s="27" t="s">
        <v>111</v>
      </c>
      <c r="N14" s="3" t="s">
        <v>112</v>
      </c>
    </row>
    <row r="15" spans="1:14">
      <c r="A15" t="s">
        <v>89</v>
      </c>
      <c r="B15" t="s">
        <v>113</v>
      </c>
      <c r="C15" t="s">
        <v>60</v>
      </c>
      <c r="D15" s="24">
        <f>COUNT(Rendements!$B$6:$B$109)</f>
        <v>104</v>
      </c>
      <c r="E15" s="26">
        <f>SLOPE(Rendements!$B$6:$B$109,Rendements!$J$6:$J$109)</f>
        <v>5.6146171111085823E-2</v>
      </c>
      <c r="F15" s="23">
        <f>INTERCEPT(Rendements!$B$6:$B$109,Rendements!$J$6:$J$109)</f>
        <v>-9.7822791598950777E-5</v>
      </c>
      <c r="G15" s="23">
        <f>EXP(F15*52)-1</f>
        <v>-5.0738693807144131E-3</v>
      </c>
      <c r="H15" s="23">
        <f>RSQ(Rendements!$B$6:$B$109,Rendements!$J$6:$J$109)</f>
        <v>3.5330117815882741E-4</v>
      </c>
      <c r="I15" s="26">
        <f>STEYX(Rendements!$B$6:$B$109,Rendements!$J$6:$J$109)/SQRT(DEVSQ(Rendements!$J$6:$J$109))</f>
        <v>0.29571324991379755</v>
      </c>
      <c r="J15" s="28">
        <f>E15/I15</f>
        <v>0.18986694416788161</v>
      </c>
      <c r="K15" s="31">
        <v>0.84979073258697757</v>
      </c>
      <c r="L15" s="26">
        <v>-0.53039965362485653</v>
      </c>
      <c r="M15" s="26">
        <v>0.64269199584702585</v>
      </c>
      <c r="N15" t="s">
        <v>114</v>
      </c>
    </row>
    <row r="16" spans="1:14">
      <c r="A16" t="s">
        <v>90</v>
      </c>
      <c r="B16" t="s">
        <v>115</v>
      </c>
      <c r="C16" t="s">
        <v>71</v>
      </c>
      <c r="D16" s="24">
        <f>COUNT(Rendements!$D$6:$D$109)</f>
        <v>104</v>
      </c>
      <c r="E16" s="26">
        <f>SLOPE(Rendements!$D$6:$D$109,Rendements!$I$6:$I$109)</f>
        <v>0.48571819071853378</v>
      </c>
      <c r="F16" s="23">
        <f>INTERCEPT(Rendements!$D$6:$D$109,Rendements!$I$6:$I$109)</f>
        <v>-6.4656994020279848E-3</v>
      </c>
      <c r="G16" s="23">
        <f>EXP(F16*52)-1</f>
        <v>-0.28553149967664726</v>
      </c>
      <c r="H16" s="23">
        <f>RSQ(Rendements!$D$6:$D$109,Rendements!$I$6:$I$109)</f>
        <v>5.7092435155765731E-2</v>
      </c>
      <c r="I16" s="26">
        <f>STEYX(Rendements!$D$6:$D$109,Rendements!$I$6:$I$109)/SQRT(DEVSQ(Rendements!$I$6:$I$109))</f>
        <v>0.19544724772636449</v>
      </c>
      <c r="J16" s="28">
        <f>E16/I16</f>
        <v>2.4851626020263153</v>
      </c>
      <c r="K16" s="31">
        <v>1.457523763315084E-2</v>
      </c>
      <c r="L16" s="26">
        <v>9.8049504437318802E-2</v>
      </c>
      <c r="M16" s="26">
        <v>0.87338687699974771</v>
      </c>
      <c r="N16" t="s">
        <v>116</v>
      </c>
    </row>
    <row r="17" spans="1:14">
      <c r="A17" t="s">
        <v>91</v>
      </c>
      <c r="B17" t="s">
        <v>91</v>
      </c>
      <c r="C17" t="s">
        <v>71</v>
      </c>
      <c r="D17" s="24">
        <f>COUNT(Rendements!$E$6:$E$109)</f>
        <v>104</v>
      </c>
      <c r="E17" s="26">
        <f>SLOPE(Rendements!$E$6:$E$109,Rendements!$I$6:$I$109)</f>
        <v>1.0028829189141426</v>
      </c>
      <c r="F17" s="23">
        <f>INTERCEPT(Rendements!$E$6:$E$109,Rendements!$I$6:$I$109)</f>
        <v>-5.5021880069340938E-3</v>
      </c>
      <c r="G17" s="23">
        <f>EXP(F17*52)-1</f>
        <v>-0.24882285511700541</v>
      </c>
      <c r="H17" s="23">
        <f>RSQ(Rendements!$E$6:$E$109,Rendements!$I$6:$I$109)</f>
        <v>0.11885437917934985</v>
      </c>
      <c r="I17" s="26">
        <f>STEYX(Rendements!$E$6:$E$109,Rendements!$I$6:$I$109)/SQRT(DEVSQ(Rendements!$I$6:$I$109))</f>
        <v>0.27037491644513906</v>
      </c>
      <c r="J17" s="28">
        <f>E17/I17</f>
        <v>3.7092306198368608</v>
      </c>
      <c r="K17" s="31">
        <v>3.3858861710548321E-4</v>
      </c>
      <c r="L17" s="26">
        <v>0.46659555809938502</v>
      </c>
      <c r="M17" s="26">
        <v>1.5391702797289</v>
      </c>
      <c r="N17" t="s">
        <v>116</v>
      </c>
    </row>
    <row r="18" spans="1:14">
      <c r="A18" t="s">
        <v>92</v>
      </c>
      <c r="B18" t="s">
        <v>117</v>
      </c>
      <c r="C18" t="s">
        <v>71</v>
      </c>
      <c r="D18" s="24">
        <f>COUNT(Rendements!$F$6:$F$109)</f>
        <v>104</v>
      </c>
      <c r="E18" s="26">
        <f>SLOPE(Rendements!$F$6:$F$109,Rendements!$I$6:$I$109)</f>
        <v>1.0494778033329017</v>
      </c>
      <c r="F18" s="23">
        <f>INTERCEPT(Rendements!$F$6:$F$109,Rendements!$I$6:$I$109)</f>
        <v>-9.4918776942448952E-3</v>
      </c>
      <c r="G18" s="23">
        <f>EXP(F18*52)-1</f>
        <v>-0.38956144658314773</v>
      </c>
      <c r="H18" s="23">
        <f>RSQ(Rendements!$F$6:$F$109,Rendements!$I$6:$I$109)</f>
        <v>0.19169693622330003</v>
      </c>
      <c r="I18" s="26">
        <f>STEYX(Rendements!$F$6:$F$109,Rendements!$I$6:$I$109)/SQRT(DEVSQ(Rendements!$I$6:$I$109))</f>
        <v>0.213379502515917</v>
      </c>
      <c r="J18" s="28">
        <f>E18/I18</f>
        <v>4.9183627806734442</v>
      </c>
      <c r="K18" s="31">
        <v>3.3529253577002371E-6</v>
      </c>
      <c r="L18" s="26">
        <v>0.62624057496580043</v>
      </c>
      <c r="M18" s="26">
        <v>1.472715031700002</v>
      </c>
      <c r="N18" t="s">
        <v>116</v>
      </c>
    </row>
    <row r="19" spans="1:14">
      <c r="A19" t="s">
        <v>93</v>
      </c>
      <c r="B19" t="s">
        <v>118</v>
      </c>
      <c r="C19" t="s">
        <v>71</v>
      </c>
      <c r="D19" s="24">
        <f>COUNT(Rendements!$G$6:$G$109)</f>
        <v>104</v>
      </c>
      <c r="E19" s="26">
        <f>SLOPE(Rendements!$G$6:$G$109,Rendements!$I$6:$I$109)</f>
        <v>0.51127493766116927</v>
      </c>
      <c r="F19" s="23">
        <f>INTERCEPT(Rendements!$G$6:$G$109,Rendements!$I$6:$I$109)</f>
        <v>-5.1570123511117021E-3</v>
      </c>
      <c r="G19" s="23">
        <f>EXP(F19*52)-1</f>
        <v>-0.23521814467459545</v>
      </c>
      <c r="H19" s="23">
        <f>RSQ(Rendements!$G$6:$G$109,Rendements!$I$6:$I$109)</f>
        <v>6.2016708239387631E-2</v>
      </c>
      <c r="I19" s="26">
        <f>STEYX(Rendements!$G$6:$G$109,Rendements!$I$6:$I$109)/SQRT(DEVSQ(Rendements!$I$6:$I$109))</f>
        <v>0.19687819287447905</v>
      </c>
      <c r="J19" s="28">
        <f>E19/I19</f>
        <v>2.5969099482091238</v>
      </c>
      <c r="K19" s="31">
        <v>1.079595540877131E-2</v>
      </c>
      <c r="L19" s="26">
        <v>0.12076797848451511</v>
      </c>
      <c r="M19" s="26">
        <v>0.90178189683782339</v>
      </c>
      <c r="N19" t="s">
        <v>116</v>
      </c>
    </row>
    <row r="22" spans="1:14" ht="39.950000000000003" customHeight="1">
      <c r="A22" s="75" t="s">
        <v>120</v>
      </c>
      <c r="B22" s="73"/>
      <c r="C22" s="73"/>
      <c r="D22" s="73"/>
      <c r="E22" s="73"/>
      <c r="F22" s="73"/>
      <c r="G22" s="73"/>
      <c r="H22" s="73"/>
      <c r="I22" s="73"/>
      <c r="J22" s="73"/>
      <c r="K22" s="73"/>
      <c r="L22" s="73"/>
      <c r="M22" s="73"/>
      <c r="N22" s="74"/>
    </row>
  </sheetData>
  <mergeCells count="5">
    <mergeCell ref="A22:N22"/>
    <mergeCell ref="A4:N4"/>
    <mergeCell ref="A2:N2"/>
    <mergeCell ref="A13:N13"/>
    <mergeCell ref="A1:N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25"/>
  <sheetViews>
    <sheetView showGridLines="0" workbookViewId="0"/>
  </sheetViews>
  <sheetFormatPr defaultRowHeight="14.25"/>
  <cols>
    <col min="1" max="1" width="34" customWidth="1"/>
    <col min="2" max="2" width="13" customWidth="1"/>
    <col min="3" max="12" width="15" customWidth="1"/>
    <col min="13" max="13" width="46" customWidth="1"/>
  </cols>
  <sheetData>
    <row r="1" spans="1:13" ht="27.95" customHeight="1">
      <c r="A1" s="52" t="s">
        <v>121</v>
      </c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</row>
    <row r="2" spans="1:13">
      <c r="A2" s="50" t="s">
        <v>122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</row>
    <row r="4" spans="1:13" ht="21.95" customHeight="1">
      <c r="A4" s="52" t="s">
        <v>123</v>
      </c>
      <c r="B4" s="51"/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</row>
    <row r="5" spans="1:13" ht="27.95" customHeight="1">
      <c r="A5" s="1" t="s">
        <v>7</v>
      </c>
      <c r="B5" s="2" t="s">
        <v>124</v>
      </c>
      <c r="C5" s="2" t="s">
        <v>125</v>
      </c>
      <c r="D5" s="2" t="s">
        <v>126</v>
      </c>
      <c r="E5" s="2" t="s">
        <v>127</v>
      </c>
      <c r="F5" s="2" t="s">
        <v>128</v>
      </c>
      <c r="G5" s="2" t="s">
        <v>10</v>
      </c>
      <c r="H5" s="2" t="s">
        <v>129</v>
      </c>
      <c r="I5" s="2" t="s">
        <v>130</v>
      </c>
      <c r="J5" s="2" t="s">
        <v>131</v>
      </c>
      <c r="K5" s="2" t="s">
        <v>132</v>
      </c>
      <c r="L5" s="2" t="s">
        <v>133</v>
      </c>
      <c r="M5" s="3" t="s">
        <v>134</v>
      </c>
    </row>
    <row r="6" spans="1:13" ht="28.5">
      <c r="A6" t="s">
        <v>90</v>
      </c>
      <c r="B6" t="s">
        <v>115</v>
      </c>
      <c r="C6" s="35">
        <v>29.45000076293945</v>
      </c>
      <c r="D6" s="33">
        <v>58660917</v>
      </c>
      <c r="E6" s="36">
        <f>C6*D6</f>
        <v>1727564050.4047277</v>
      </c>
      <c r="F6" s="37">
        <v>666728000</v>
      </c>
      <c r="G6" s="38">
        <f>F6/E6</f>
        <v>0.38593532890650351</v>
      </c>
      <c r="H6" s="39">
        <v>0.25</v>
      </c>
      <c r="I6" s="40">
        <f>Regressions!E7</f>
        <v>0.71971998600094134</v>
      </c>
      <c r="J6" s="26">
        <f>I6/(1+(1-H6)*G6)</f>
        <v>0.55815979728908005</v>
      </c>
      <c r="K6" s="40">
        <f>Regressions!E16</f>
        <v>0.48571819071853378</v>
      </c>
      <c r="L6" s="26">
        <f>K6/(1+(1-H6)*G6)</f>
        <v>0.3766858947150607</v>
      </c>
      <c r="M6" s="41" t="s">
        <v>135</v>
      </c>
    </row>
    <row r="7" spans="1:13" ht="28.5">
      <c r="A7" t="s">
        <v>91</v>
      </c>
      <c r="B7" t="s">
        <v>91</v>
      </c>
      <c r="C7" s="35">
        <v>44.680000305175781</v>
      </c>
      <c r="D7" s="33">
        <v>99596727</v>
      </c>
      <c r="E7" s="36">
        <f>C7*D7</f>
        <v>4449981792.754509</v>
      </c>
      <c r="F7" s="37">
        <v>1834854000</v>
      </c>
      <c r="G7" s="38">
        <f>F7/E7</f>
        <v>0.41232842862133096</v>
      </c>
      <c r="H7" s="39">
        <v>0.25</v>
      </c>
      <c r="I7" s="40">
        <f>Regressions!E8</f>
        <v>1.527124471493801</v>
      </c>
      <c r="J7" s="26">
        <f>I7/(1+(1-H7)*G7)</f>
        <v>1.1664149415244023</v>
      </c>
      <c r="K7" s="40">
        <f>Regressions!E17</f>
        <v>1.0028829189141426</v>
      </c>
      <c r="L7" s="26">
        <f>K7/(1+(1-H7)*G7)</f>
        <v>0.76600018076903031</v>
      </c>
      <c r="M7" s="41" t="s">
        <v>136</v>
      </c>
    </row>
    <row r="8" spans="1:13" ht="28.5">
      <c r="A8" t="s">
        <v>92</v>
      </c>
      <c r="B8" t="s">
        <v>117</v>
      </c>
      <c r="C8" s="35">
        <v>17.79000091552734</v>
      </c>
      <c r="D8" s="33">
        <v>109552950</v>
      </c>
      <c r="E8" s="36">
        <f>C8*D8</f>
        <v>1948947080.7987208</v>
      </c>
      <c r="F8" s="37">
        <v>313707000</v>
      </c>
      <c r="G8" s="38">
        <f>F8/E8</f>
        <v>0.16096229758656969</v>
      </c>
      <c r="H8" s="39">
        <v>0.25</v>
      </c>
      <c r="I8" s="40">
        <f>Regressions!E9</f>
        <v>1.5500010875974932</v>
      </c>
      <c r="J8" s="26">
        <f>I8/(1+(1-H8)*G8)</f>
        <v>1.3830383185450368</v>
      </c>
      <c r="K8" s="40">
        <f>Regressions!E18</f>
        <v>1.0494778033329017</v>
      </c>
      <c r="L8" s="26">
        <f>K8/(1+(1-H8)*G8)</f>
        <v>0.93643032129845494</v>
      </c>
      <c r="M8" s="41" t="s">
        <v>137</v>
      </c>
    </row>
    <row r="9" spans="1:13" ht="28.5">
      <c r="A9" t="s">
        <v>93</v>
      </c>
      <c r="B9" t="s">
        <v>118</v>
      </c>
      <c r="C9" s="35">
        <v>54.330001831054688</v>
      </c>
      <c r="D9" s="33">
        <v>56885568</v>
      </c>
      <c r="E9" s="36">
        <f>C9*D9</f>
        <v>3090593013.6005859</v>
      </c>
      <c r="F9" s="37">
        <v>781634000</v>
      </c>
      <c r="G9" s="38">
        <f>F9/E9</f>
        <v>0.25290745062850739</v>
      </c>
      <c r="H9" s="39">
        <v>0.25</v>
      </c>
      <c r="I9" s="40">
        <f>Regressions!E10</f>
        <v>0.73650025919191642</v>
      </c>
      <c r="J9" s="26">
        <f>I9/(1+(1-H9)*G9)</f>
        <v>0.61907394861992482</v>
      </c>
      <c r="K9" s="40">
        <f>Regressions!E19</f>
        <v>0.51127493766116927</v>
      </c>
      <c r="L9" s="26">
        <f>K9/(1+(1-H9)*G9)</f>
        <v>0.42975815763539105</v>
      </c>
      <c r="M9" s="41" t="s">
        <v>138</v>
      </c>
    </row>
    <row r="12" spans="1:13" ht="21.95" customHeight="1">
      <c r="A12" s="52" t="s">
        <v>139</v>
      </c>
      <c r="B12" s="51"/>
      <c r="C12" s="51"/>
      <c r="D12" s="51"/>
      <c r="E12" s="51"/>
      <c r="F12" s="51"/>
      <c r="G12" s="51"/>
      <c r="H12" s="51"/>
      <c r="I12" s="51"/>
      <c r="J12" s="51"/>
      <c r="K12" s="51"/>
      <c r="L12" s="51"/>
      <c r="M12" s="51"/>
    </row>
    <row r="13" spans="1:13">
      <c r="A13" t="s">
        <v>140</v>
      </c>
      <c r="B13" s="26">
        <f>MEDIAN(J6:J9)</f>
        <v>0.89274444507216355</v>
      </c>
      <c r="C13" t="s">
        <v>66</v>
      </c>
    </row>
    <row r="14" spans="1:13">
      <c r="A14" t="s">
        <v>141</v>
      </c>
      <c r="B14" s="26">
        <f>MEDIAN(L6:L9)</f>
        <v>0.59787916920221074</v>
      </c>
      <c r="C14" t="s">
        <v>71</v>
      </c>
    </row>
    <row r="15" spans="1:13">
      <c r="A15" t="s">
        <v>142</v>
      </c>
      <c r="B15" s="39">
        <v>0.2</v>
      </c>
      <c r="C15" t="s">
        <v>143</v>
      </c>
    </row>
    <row r="16" spans="1:13">
      <c r="A16" t="s">
        <v>144</v>
      </c>
      <c r="B16" s="38">
        <f>B15/(1-B15)</f>
        <v>0.25</v>
      </c>
      <c r="C16" t="s">
        <v>79</v>
      </c>
    </row>
    <row r="17" spans="1:13">
      <c r="A17" t="s">
        <v>145</v>
      </c>
      <c r="B17" s="39">
        <v>0.25829999999999997</v>
      </c>
      <c r="C17" t="s">
        <v>146</v>
      </c>
    </row>
    <row r="18" spans="1:13">
      <c r="A18" t="s">
        <v>147</v>
      </c>
      <c r="B18" s="26">
        <f>B13*(1+(1-B17)*B16)</f>
        <v>1.0582815837996695</v>
      </c>
      <c r="C18" t="s">
        <v>148</v>
      </c>
    </row>
    <row r="19" spans="1:13">
      <c r="A19" t="s">
        <v>149</v>
      </c>
      <c r="B19" s="26">
        <f>B14*(1+(1-B17)*B16)</f>
        <v>0.70874091415153062</v>
      </c>
      <c r="C19" t="s">
        <v>63</v>
      </c>
    </row>
    <row r="20" spans="1:13">
      <c r="A20" t="s">
        <v>150</v>
      </c>
      <c r="B20" s="42">
        <v>1.1499999999999999</v>
      </c>
      <c r="C20" t="s">
        <v>151</v>
      </c>
    </row>
    <row r="21" spans="1:13">
      <c r="A21" t="s">
        <v>152</v>
      </c>
      <c r="B21" s="26">
        <f>B20-B18</f>
        <v>9.1718416200330388E-2</v>
      </c>
      <c r="C21" t="s">
        <v>153</v>
      </c>
    </row>
    <row r="22" spans="1:13">
      <c r="A22" t="s">
        <v>154</v>
      </c>
      <c r="B22" s="43">
        <v>5.5E-2</v>
      </c>
      <c r="C22" t="s">
        <v>155</v>
      </c>
    </row>
    <row r="23" spans="1:13">
      <c r="A23" t="s">
        <v>156</v>
      </c>
      <c r="B23" s="23">
        <f>B21*B22</f>
        <v>5.0445128910181717E-3</v>
      </c>
      <c r="C23" t="s">
        <v>157</v>
      </c>
    </row>
    <row r="25" spans="1:13" ht="42" customHeight="1">
      <c r="A25" s="76" t="str">
        <f>"Conclusion : bêta statistique central = "&amp;TEXT(B18,"0.00x")&amp;" ; le bêta 1,15x du modèle est supérieur de "&amp;TEXT(B21,"0.00x")&amp;" et ajoute environ "&amp;TEXT(B23,"0.00%")&amp;" au coût des fonds propres."</f>
        <v>Conclusion : bêta statistique central = 0.01x ; le bêta 1,15x du modèle est supérieur de 0.00x et ajoute environ 0.01% au coût des fonds propres.</v>
      </c>
      <c r="B25" s="73"/>
      <c r="C25" s="73"/>
      <c r="D25" s="73"/>
      <c r="E25" s="73"/>
      <c r="F25" s="73"/>
      <c r="G25" s="73"/>
      <c r="H25" s="73"/>
      <c r="I25" s="73"/>
      <c r="J25" s="73"/>
      <c r="K25" s="73"/>
      <c r="L25" s="73"/>
      <c r="M25" s="74"/>
    </row>
  </sheetData>
  <mergeCells count="5">
    <mergeCell ref="A1:M1"/>
    <mergeCell ref="A12:M12"/>
    <mergeCell ref="A4:M4"/>
    <mergeCell ref="A25:M25"/>
    <mergeCell ref="A2:M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56"/>
  <sheetViews>
    <sheetView showGridLines="0" workbookViewId="0"/>
  </sheetViews>
  <sheetFormatPr defaultRowHeight="14.25"/>
  <cols>
    <col min="1" max="1" width="18" customWidth="1"/>
    <col min="2" max="3" width="14" customWidth="1"/>
    <col min="4" max="6" width="17" customWidth="1"/>
    <col min="7" max="9" width="16" customWidth="1"/>
    <col min="10" max="10" width="12" customWidth="1"/>
  </cols>
  <sheetData>
    <row r="1" spans="1:10" ht="27.95" customHeight="1">
      <c r="A1" s="52" t="s">
        <v>158</v>
      </c>
      <c r="B1" s="51"/>
      <c r="C1" s="51"/>
      <c r="D1" s="51"/>
      <c r="E1" s="51"/>
      <c r="F1" s="51"/>
      <c r="G1" s="51"/>
      <c r="H1" s="51"/>
      <c r="I1" s="51"/>
      <c r="J1" s="51"/>
    </row>
    <row r="3" spans="1:10" ht="21.95" customHeight="1">
      <c r="A3" s="52" t="s">
        <v>159</v>
      </c>
      <c r="B3" s="51"/>
      <c r="C3" s="51"/>
      <c r="D3" s="51"/>
      <c r="E3" s="51"/>
      <c r="F3" s="51"/>
      <c r="G3" s="51"/>
      <c r="H3" s="51"/>
      <c r="I3" s="51"/>
      <c r="J3" s="51"/>
    </row>
    <row r="4" spans="1:10" ht="27.95" customHeight="1">
      <c r="A4" s="1" t="s">
        <v>160</v>
      </c>
      <c r="B4" s="2" t="s">
        <v>161</v>
      </c>
      <c r="C4" s="2" t="s">
        <v>162</v>
      </c>
      <c r="D4" s="3" t="s">
        <v>25</v>
      </c>
    </row>
    <row r="5" spans="1:10">
      <c r="A5" t="s">
        <v>163</v>
      </c>
      <c r="B5">
        <v>105</v>
      </c>
      <c r="C5">
        <v>105</v>
      </c>
      <c r="D5" t="str">
        <f>IF(B5=C5,"PASS","FAIL")</f>
        <v>PASS</v>
      </c>
    </row>
    <row r="6" spans="1:10">
      <c r="A6" t="s">
        <v>164</v>
      </c>
      <c r="B6">
        <v>104</v>
      </c>
      <c r="C6">
        <v>104</v>
      </c>
      <c r="D6" t="str">
        <f>IF(B6=C6,"PASS","FAIL")</f>
        <v>PASS</v>
      </c>
    </row>
    <row r="7" spans="1:10">
      <c r="A7" t="s">
        <v>165</v>
      </c>
      <c r="B7">
        <v>0</v>
      </c>
      <c r="C7">
        <v>0</v>
      </c>
      <c r="D7" t="str">
        <f>IF(B7=C7,"PASS","FAIL")</f>
        <v>PASS</v>
      </c>
    </row>
    <row r="8" spans="1:10">
      <c r="A8" t="s">
        <v>166</v>
      </c>
      <c r="B8">
        <v>46</v>
      </c>
      <c r="C8">
        <v>46</v>
      </c>
      <c r="D8" t="str">
        <f>IF(B8=C8,"PASS","FAIL")</f>
        <v>PASS</v>
      </c>
    </row>
    <row r="10" spans="1:10" ht="27.95" customHeight="1">
      <c r="A10" s="1" t="s">
        <v>167</v>
      </c>
      <c r="B10" s="2" t="s">
        <v>124</v>
      </c>
      <c r="C10" s="2" t="s">
        <v>168</v>
      </c>
      <c r="D10" s="2" t="s">
        <v>169</v>
      </c>
      <c r="E10" s="2" t="s">
        <v>170</v>
      </c>
      <c r="F10" s="2" t="s">
        <v>171</v>
      </c>
      <c r="G10" s="2" t="s">
        <v>172</v>
      </c>
      <c r="H10" s="2" t="s">
        <v>173</v>
      </c>
      <c r="I10" s="2" t="s">
        <v>174</v>
      </c>
      <c r="J10" s="3" t="s">
        <v>25</v>
      </c>
    </row>
    <row r="11" spans="1:10">
      <c r="A11" t="s">
        <v>175</v>
      </c>
      <c r="B11" t="s">
        <v>113</v>
      </c>
      <c r="C11" s="4">
        <v>46218</v>
      </c>
      <c r="D11" s="44">
        <v>176.4</v>
      </c>
      <c r="E11" s="44">
        <v>176.3999938964844</v>
      </c>
      <c r="F11" s="44">
        <f t="shared" ref="F11:F56" si="0">E11-D11</f>
        <v>-6.1035156022626325E-6</v>
      </c>
      <c r="G11" s="24">
        <v>1130</v>
      </c>
      <c r="H11" s="24">
        <v>1130</v>
      </c>
      <c r="I11" s="24">
        <f t="shared" ref="I11:I56" si="1">H11-G11</f>
        <v>0</v>
      </c>
      <c r="J11" t="str">
        <f t="shared" ref="J11:J56" si="2">IF(AND(ABS(F11)&lt;0.011,ABS(I11)&lt;=MAX(100,G11*0.001)),"PASS","FAIL")</f>
        <v>PASS</v>
      </c>
    </row>
    <row r="12" spans="1:10">
      <c r="A12" t="s">
        <v>175</v>
      </c>
      <c r="B12" t="s">
        <v>113</v>
      </c>
      <c r="C12" s="4">
        <v>46217</v>
      </c>
      <c r="D12" s="44">
        <v>174.6</v>
      </c>
      <c r="E12" s="44">
        <v>174.6000061035156</v>
      </c>
      <c r="F12" s="44">
        <f t="shared" si="0"/>
        <v>6.1035156022626325E-6</v>
      </c>
      <c r="G12" s="24">
        <v>1148</v>
      </c>
      <c r="H12" s="24">
        <v>1148</v>
      </c>
      <c r="I12" s="24">
        <f t="shared" si="1"/>
        <v>0</v>
      </c>
      <c r="J12" t="str">
        <f t="shared" si="2"/>
        <v>PASS</v>
      </c>
    </row>
    <row r="13" spans="1:10">
      <c r="A13" t="s">
        <v>175</v>
      </c>
      <c r="B13" t="s">
        <v>113</v>
      </c>
      <c r="C13" s="4">
        <v>46216</v>
      </c>
      <c r="D13" s="44">
        <v>173.4</v>
      </c>
      <c r="E13" s="44">
        <v>173.3999938964844</v>
      </c>
      <c r="F13" s="44">
        <f t="shared" si="0"/>
        <v>-6.1035156022626325E-6</v>
      </c>
      <c r="G13" s="24">
        <v>546</v>
      </c>
      <c r="H13" s="24">
        <v>546</v>
      </c>
      <c r="I13" s="24">
        <f t="shared" si="1"/>
        <v>0</v>
      </c>
      <c r="J13" t="str">
        <f t="shared" si="2"/>
        <v>PASS</v>
      </c>
    </row>
    <row r="14" spans="1:10">
      <c r="A14" t="s">
        <v>175</v>
      </c>
      <c r="B14" t="s">
        <v>113</v>
      </c>
      <c r="C14" s="4">
        <v>46213</v>
      </c>
      <c r="D14" s="44">
        <v>175.2</v>
      </c>
      <c r="E14" s="44">
        <v>175.19999694824219</v>
      </c>
      <c r="F14" s="44">
        <f t="shared" si="0"/>
        <v>-3.0517578011313162E-6</v>
      </c>
      <c r="G14" s="24">
        <v>607</v>
      </c>
      <c r="H14" s="24">
        <v>607</v>
      </c>
      <c r="I14" s="24">
        <f t="shared" si="1"/>
        <v>0</v>
      </c>
      <c r="J14" t="str">
        <f t="shared" si="2"/>
        <v>PASS</v>
      </c>
    </row>
    <row r="15" spans="1:10">
      <c r="A15" t="s">
        <v>175</v>
      </c>
      <c r="B15" t="s">
        <v>113</v>
      </c>
      <c r="C15" s="4">
        <v>46212</v>
      </c>
      <c r="D15" s="44">
        <v>176</v>
      </c>
      <c r="E15" s="44">
        <v>176</v>
      </c>
      <c r="F15" s="44">
        <f t="shared" si="0"/>
        <v>0</v>
      </c>
      <c r="G15" s="24">
        <v>1505</v>
      </c>
      <c r="H15" s="24">
        <v>1505</v>
      </c>
      <c r="I15" s="24">
        <f t="shared" si="1"/>
        <v>0</v>
      </c>
      <c r="J15" t="str">
        <f t="shared" si="2"/>
        <v>PASS</v>
      </c>
    </row>
    <row r="16" spans="1:10">
      <c r="A16" t="s">
        <v>175</v>
      </c>
      <c r="B16" t="s">
        <v>113</v>
      </c>
      <c r="C16" s="4">
        <v>46211</v>
      </c>
      <c r="D16" s="44">
        <v>177.2</v>
      </c>
      <c r="E16" s="44">
        <v>177.19999694824219</v>
      </c>
      <c r="F16" s="44">
        <f t="shared" si="0"/>
        <v>-3.0517578011313162E-6</v>
      </c>
      <c r="G16" s="24">
        <v>1194</v>
      </c>
      <c r="H16" s="24">
        <v>1194</v>
      </c>
      <c r="I16" s="24">
        <f t="shared" si="1"/>
        <v>0</v>
      </c>
      <c r="J16" t="str">
        <f t="shared" si="2"/>
        <v>PASS</v>
      </c>
    </row>
    <row r="17" spans="1:10">
      <c r="A17" t="s">
        <v>175</v>
      </c>
      <c r="B17" t="s">
        <v>113</v>
      </c>
      <c r="C17" s="4">
        <v>46210</v>
      </c>
      <c r="D17" s="44">
        <v>171</v>
      </c>
      <c r="E17" s="44">
        <v>171</v>
      </c>
      <c r="F17" s="44">
        <f t="shared" si="0"/>
        <v>0</v>
      </c>
      <c r="G17" s="24">
        <v>1027</v>
      </c>
      <c r="H17" s="24">
        <v>1027</v>
      </c>
      <c r="I17" s="24">
        <f t="shared" si="1"/>
        <v>0</v>
      </c>
      <c r="J17" t="str">
        <f t="shared" si="2"/>
        <v>PASS</v>
      </c>
    </row>
    <row r="18" spans="1:10">
      <c r="A18" t="s">
        <v>175</v>
      </c>
      <c r="B18" t="s">
        <v>113</v>
      </c>
      <c r="C18" s="4">
        <v>46209</v>
      </c>
      <c r="D18" s="44">
        <v>177</v>
      </c>
      <c r="E18" s="44">
        <v>177</v>
      </c>
      <c r="F18" s="44">
        <f t="shared" si="0"/>
        <v>0</v>
      </c>
      <c r="G18" s="24">
        <v>1267</v>
      </c>
      <c r="H18" s="24">
        <v>1267</v>
      </c>
      <c r="I18" s="24">
        <f t="shared" si="1"/>
        <v>0</v>
      </c>
      <c r="J18" t="str">
        <f t="shared" si="2"/>
        <v>PASS</v>
      </c>
    </row>
    <row r="19" spans="1:10">
      <c r="A19" t="s">
        <v>175</v>
      </c>
      <c r="B19" t="s">
        <v>113</v>
      </c>
      <c r="C19" s="4">
        <v>46206</v>
      </c>
      <c r="D19" s="44">
        <v>179.2</v>
      </c>
      <c r="E19" s="44">
        <v>179.19999694824219</v>
      </c>
      <c r="F19" s="44">
        <f t="shared" si="0"/>
        <v>-3.0517578011313162E-6</v>
      </c>
      <c r="G19" s="24">
        <v>2628</v>
      </c>
      <c r="H19" s="24">
        <v>2628</v>
      </c>
      <c r="I19" s="24">
        <f t="shared" si="1"/>
        <v>0</v>
      </c>
      <c r="J19" t="str">
        <f t="shared" si="2"/>
        <v>PASS</v>
      </c>
    </row>
    <row r="20" spans="1:10">
      <c r="A20" t="s">
        <v>175</v>
      </c>
      <c r="B20" t="s">
        <v>113</v>
      </c>
      <c r="C20" s="4">
        <v>46205</v>
      </c>
      <c r="D20" s="44">
        <v>180.4</v>
      </c>
      <c r="E20" s="44">
        <v>180.3999938964844</v>
      </c>
      <c r="F20" s="44">
        <f t="shared" si="0"/>
        <v>-6.1035156022626325E-6</v>
      </c>
      <c r="G20" s="24">
        <v>1842</v>
      </c>
      <c r="H20" s="24">
        <v>1842</v>
      </c>
      <c r="I20" s="24">
        <f t="shared" si="1"/>
        <v>0</v>
      </c>
      <c r="J20" t="str">
        <f t="shared" si="2"/>
        <v>PASS</v>
      </c>
    </row>
    <row r="21" spans="1:10">
      <c r="A21" t="s">
        <v>94</v>
      </c>
      <c r="B21" t="s">
        <v>115</v>
      </c>
      <c r="C21" s="4">
        <v>46217</v>
      </c>
      <c r="D21" s="44">
        <v>29.11</v>
      </c>
      <c r="E21" s="44">
        <v>29.110000610351559</v>
      </c>
      <c r="F21" s="44">
        <f t="shared" si="0"/>
        <v>6.1035155951572051E-7</v>
      </c>
      <c r="G21" s="24">
        <v>901028</v>
      </c>
      <c r="H21" s="24">
        <v>901000</v>
      </c>
      <c r="I21" s="24">
        <f t="shared" si="1"/>
        <v>-28</v>
      </c>
      <c r="J21" t="str">
        <f t="shared" si="2"/>
        <v>PASS</v>
      </c>
    </row>
    <row r="22" spans="1:10">
      <c r="A22" t="s">
        <v>94</v>
      </c>
      <c r="B22" t="s">
        <v>115</v>
      </c>
      <c r="C22" s="4">
        <v>46216</v>
      </c>
      <c r="D22" s="44">
        <v>30.09</v>
      </c>
      <c r="E22" s="44">
        <v>30.090000152587891</v>
      </c>
      <c r="F22" s="44">
        <f t="shared" si="0"/>
        <v>1.5258789076710855E-7</v>
      </c>
      <c r="G22" s="24">
        <v>1293845</v>
      </c>
      <c r="H22" s="24">
        <v>1293800</v>
      </c>
      <c r="I22" s="24">
        <f t="shared" si="1"/>
        <v>-45</v>
      </c>
      <c r="J22" t="str">
        <f t="shared" si="2"/>
        <v>PASS</v>
      </c>
    </row>
    <row r="23" spans="1:10">
      <c r="A23" t="s">
        <v>94</v>
      </c>
      <c r="B23" t="s">
        <v>115</v>
      </c>
      <c r="C23" s="4">
        <v>46213</v>
      </c>
      <c r="D23" s="44">
        <v>29.13</v>
      </c>
      <c r="E23" s="44">
        <v>29.129999160766602</v>
      </c>
      <c r="F23" s="44">
        <f t="shared" si="0"/>
        <v>-8.3923339744274017E-7</v>
      </c>
      <c r="G23" s="24">
        <v>713976</v>
      </c>
      <c r="H23" s="24">
        <v>714000</v>
      </c>
      <c r="I23" s="24">
        <f t="shared" si="1"/>
        <v>24</v>
      </c>
      <c r="J23" t="str">
        <f t="shared" si="2"/>
        <v>PASS</v>
      </c>
    </row>
    <row r="24" spans="1:10">
      <c r="A24" t="s">
        <v>94</v>
      </c>
      <c r="B24" t="s">
        <v>115</v>
      </c>
      <c r="C24" s="4">
        <v>46212</v>
      </c>
      <c r="D24" s="44">
        <v>29.04</v>
      </c>
      <c r="E24" s="44">
        <v>29.04000091552734</v>
      </c>
      <c r="F24" s="44">
        <f t="shared" si="0"/>
        <v>9.155273410499376E-7</v>
      </c>
      <c r="G24" s="24">
        <v>836860</v>
      </c>
      <c r="H24" s="24">
        <v>836900</v>
      </c>
      <c r="I24" s="24">
        <f t="shared" si="1"/>
        <v>40</v>
      </c>
      <c r="J24" t="str">
        <f t="shared" si="2"/>
        <v>PASS</v>
      </c>
    </row>
    <row r="25" spans="1:10">
      <c r="A25" t="s">
        <v>94</v>
      </c>
      <c r="B25" t="s">
        <v>115</v>
      </c>
      <c r="C25" s="4">
        <v>46211</v>
      </c>
      <c r="D25" s="44">
        <v>28.55</v>
      </c>
      <c r="E25" s="44">
        <v>28.54999923706055</v>
      </c>
      <c r="F25" s="44">
        <f t="shared" si="0"/>
        <v>-7.6293945028282906E-7</v>
      </c>
      <c r="G25" s="24">
        <v>1027501</v>
      </c>
      <c r="H25" s="24">
        <v>1027500</v>
      </c>
      <c r="I25" s="24">
        <f t="shared" si="1"/>
        <v>-1</v>
      </c>
      <c r="J25" t="str">
        <f t="shared" si="2"/>
        <v>PASS</v>
      </c>
    </row>
    <row r="26" spans="1:10">
      <c r="A26" t="s">
        <v>94</v>
      </c>
      <c r="B26" t="s">
        <v>115</v>
      </c>
      <c r="C26" s="4">
        <v>46210</v>
      </c>
      <c r="D26" s="44">
        <v>29.02</v>
      </c>
      <c r="E26" s="44">
        <v>29.020000457763668</v>
      </c>
      <c r="F26" s="44">
        <f t="shared" si="0"/>
        <v>4.5776366874861196E-7</v>
      </c>
      <c r="G26" s="24">
        <v>776098</v>
      </c>
      <c r="H26" s="24">
        <v>776100</v>
      </c>
      <c r="I26" s="24">
        <f t="shared" si="1"/>
        <v>2</v>
      </c>
      <c r="J26" t="str">
        <f t="shared" si="2"/>
        <v>PASS</v>
      </c>
    </row>
    <row r="27" spans="1:10">
      <c r="A27" t="s">
        <v>94</v>
      </c>
      <c r="B27" t="s">
        <v>115</v>
      </c>
      <c r="C27" s="4">
        <v>46209</v>
      </c>
      <c r="D27" s="44">
        <v>29.1</v>
      </c>
      <c r="E27" s="44">
        <v>29.10000038146973</v>
      </c>
      <c r="F27" s="44">
        <f t="shared" si="0"/>
        <v>3.8146972869412821E-7</v>
      </c>
      <c r="G27" s="24">
        <v>743762</v>
      </c>
      <c r="H27" s="24">
        <v>743600</v>
      </c>
      <c r="I27" s="24">
        <f t="shared" si="1"/>
        <v>-162</v>
      </c>
      <c r="J27" t="str">
        <f t="shared" si="2"/>
        <v>PASS</v>
      </c>
    </row>
    <row r="28" spans="1:10">
      <c r="A28" t="s">
        <v>94</v>
      </c>
      <c r="B28" t="s">
        <v>115</v>
      </c>
      <c r="C28" s="4">
        <v>46205</v>
      </c>
      <c r="D28" s="44">
        <v>29.88</v>
      </c>
      <c r="E28" s="44">
        <v>29.879999160766602</v>
      </c>
      <c r="F28" s="44">
        <f t="shared" si="0"/>
        <v>-8.3923339744274017E-7</v>
      </c>
      <c r="G28" s="24">
        <v>1055620</v>
      </c>
      <c r="H28" s="24">
        <v>1055600</v>
      </c>
      <c r="I28" s="24">
        <f t="shared" si="1"/>
        <v>-20</v>
      </c>
      <c r="J28" t="str">
        <f t="shared" si="2"/>
        <v>PASS</v>
      </c>
    </row>
    <row r="29" spans="1:10">
      <c r="A29" t="s">
        <v>94</v>
      </c>
      <c r="B29" t="s">
        <v>115</v>
      </c>
      <c r="C29" s="4">
        <v>46204</v>
      </c>
      <c r="D29" s="44">
        <v>29.45</v>
      </c>
      <c r="E29" s="44">
        <v>29.45000076293945</v>
      </c>
      <c r="F29" s="44">
        <f t="shared" si="0"/>
        <v>7.6293945028282906E-7</v>
      </c>
      <c r="G29" s="24">
        <v>1225090</v>
      </c>
      <c r="H29" s="24">
        <v>1225100</v>
      </c>
      <c r="I29" s="24">
        <f t="shared" si="1"/>
        <v>10</v>
      </c>
      <c r="J29" t="str">
        <f t="shared" si="2"/>
        <v>PASS</v>
      </c>
    </row>
    <row r="30" spans="1:10">
      <c r="A30" t="s">
        <v>94</v>
      </c>
      <c r="B30" t="s">
        <v>91</v>
      </c>
      <c r="C30" s="4">
        <v>46217</v>
      </c>
      <c r="D30" s="44">
        <v>41.37</v>
      </c>
      <c r="E30" s="44">
        <v>41.369998931884773</v>
      </c>
      <c r="F30" s="44">
        <f t="shared" si="0"/>
        <v>-1.0681152247116188E-6</v>
      </c>
      <c r="G30" s="24">
        <v>1926650</v>
      </c>
      <c r="H30" s="24">
        <v>1926600</v>
      </c>
      <c r="I30" s="24">
        <f t="shared" si="1"/>
        <v>-50</v>
      </c>
      <c r="J30" t="str">
        <f t="shared" si="2"/>
        <v>PASS</v>
      </c>
    </row>
    <row r="31" spans="1:10">
      <c r="A31" t="s">
        <v>94</v>
      </c>
      <c r="B31" t="s">
        <v>91</v>
      </c>
      <c r="C31" s="4">
        <v>46216</v>
      </c>
      <c r="D31" s="44">
        <v>42.86</v>
      </c>
      <c r="E31" s="44">
        <v>42.860000610351563</v>
      </c>
      <c r="F31" s="44">
        <f t="shared" si="0"/>
        <v>6.1035156306843419E-7</v>
      </c>
      <c r="G31" s="24">
        <v>2183690</v>
      </c>
      <c r="H31" s="24">
        <v>2183300</v>
      </c>
      <c r="I31" s="24">
        <f t="shared" si="1"/>
        <v>-390</v>
      </c>
      <c r="J31" t="str">
        <f t="shared" si="2"/>
        <v>PASS</v>
      </c>
    </row>
    <row r="32" spans="1:10">
      <c r="A32" t="s">
        <v>94</v>
      </c>
      <c r="B32" t="s">
        <v>91</v>
      </c>
      <c r="C32" s="4">
        <v>46213</v>
      </c>
      <c r="D32" s="44">
        <v>41.36</v>
      </c>
      <c r="E32" s="44">
        <v>41.360000610351563</v>
      </c>
      <c r="F32" s="44">
        <f t="shared" si="0"/>
        <v>6.1035156306843419E-7</v>
      </c>
      <c r="G32" s="24">
        <v>1877510</v>
      </c>
      <c r="H32" s="24">
        <v>1877500</v>
      </c>
      <c r="I32" s="24">
        <f t="shared" si="1"/>
        <v>-10</v>
      </c>
      <c r="J32" t="str">
        <f t="shared" si="2"/>
        <v>PASS</v>
      </c>
    </row>
    <row r="33" spans="1:10">
      <c r="A33" t="s">
        <v>94</v>
      </c>
      <c r="B33" t="s">
        <v>91</v>
      </c>
      <c r="C33" s="4">
        <v>46212</v>
      </c>
      <c r="D33" s="44">
        <v>40.520000000000003</v>
      </c>
      <c r="E33" s="44">
        <v>40.520000457763672</v>
      </c>
      <c r="F33" s="44">
        <f t="shared" si="0"/>
        <v>4.5776366874861196E-7</v>
      </c>
      <c r="G33" s="24">
        <v>2092642</v>
      </c>
      <c r="H33" s="24">
        <v>2092600</v>
      </c>
      <c r="I33" s="24">
        <f t="shared" si="1"/>
        <v>-42</v>
      </c>
      <c r="J33" t="str">
        <f t="shared" si="2"/>
        <v>PASS</v>
      </c>
    </row>
    <row r="34" spans="1:10">
      <c r="A34" t="s">
        <v>94</v>
      </c>
      <c r="B34" t="s">
        <v>91</v>
      </c>
      <c r="C34" s="4">
        <v>46211</v>
      </c>
      <c r="D34" s="44">
        <v>39.299999999999997</v>
      </c>
      <c r="E34" s="44">
        <v>39.299999237060547</v>
      </c>
      <c r="F34" s="44">
        <f t="shared" si="0"/>
        <v>-7.6293945028282906E-7</v>
      </c>
      <c r="G34" s="24">
        <v>1723210</v>
      </c>
      <c r="H34" s="24">
        <v>1722900</v>
      </c>
      <c r="I34" s="24">
        <f t="shared" si="1"/>
        <v>-310</v>
      </c>
      <c r="J34" t="str">
        <f t="shared" si="2"/>
        <v>PASS</v>
      </c>
    </row>
    <row r="35" spans="1:10">
      <c r="A35" t="s">
        <v>94</v>
      </c>
      <c r="B35" t="s">
        <v>91</v>
      </c>
      <c r="C35" s="4">
        <v>46210</v>
      </c>
      <c r="D35" s="44">
        <v>40.68</v>
      </c>
      <c r="E35" s="44">
        <v>40.680000305175781</v>
      </c>
      <c r="F35" s="44">
        <f t="shared" si="0"/>
        <v>3.0517578153421709E-7</v>
      </c>
      <c r="G35" s="24">
        <v>2091369</v>
      </c>
      <c r="H35" s="24">
        <v>2091200</v>
      </c>
      <c r="I35" s="24">
        <f t="shared" si="1"/>
        <v>-169</v>
      </c>
      <c r="J35" t="str">
        <f t="shared" si="2"/>
        <v>PASS</v>
      </c>
    </row>
    <row r="36" spans="1:10">
      <c r="A36" t="s">
        <v>94</v>
      </c>
      <c r="B36" t="s">
        <v>91</v>
      </c>
      <c r="C36" s="4">
        <v>46209</v>
      </c>
      <c r="D36" s="44">
        <v>40.229999999999997</v>
      </c>
      <c r="E36" s="44">
        <v>40.229999542236328</v>
      </c>
      <c r="F36" s="44">
        <f t="shared" si="0"/>
        <v>-4.5776366874861196E-7</v>
      </c>
      <c r="G36" s="24">
        <v>1865667</v>
      </c>
      <c r="H36" s="24">
        <v>1865300</v>
      </c>
      <c r="I36" s="24">
        <f t="shared" si="1"/>
        <v>-367</v>
      </c>
      <c r="J36" t="str">
        <f t="shared" si="2"/>
        <v>PASS</v>
      </c>
    </row>
    <row r="37" spans="1:10">
      <c r="A37" t="s">
        <v>94</v>
      </c>
      <c r="B37" t="s">
        <v>91</v>
      </c>
      <c r="C37" s="4">
        <v>46205</v>
      </c>
      <c r="D37" s="44">
        <v>40.479999999999997</v>
      </c>
      <c r="E37" s="44">
        <v>40.479999542236328</v>
      </c>
      <c r="F37" s="44">
        <f t="shared" si="0"/>
        <v>-4.5776366874861196E-7</v>
      </c>
      <c r="G37" s="24">
        <v>2817623</v>
      </c>
      <c r="H37" s="24">
        <v>2817100</v>
      </c>
      <c r="I37" s="24">
        <f t="shared" si="1"/>
        <v>-523</v>
      </c>
      <c r="J37" t="str">
        <f t="shared" si="2"/>
        <v>PASS</v>
      </c>
    </row>
    <row r="38" spans="1:10">
      <c r="A38" t="s">
        <v>94</v>
      </c>
      <c r="B38" t="s">
        <v>91</v>
      </c>
      <c r="C38" s="4">
        <v>46204</v>
      </c>
      <c r="D38" s="44">
        <v>38.78</v>
      </c>
      <c r="E38" s="44">
        <v>38.779998779296882</v>
      </c>
      <c r="F38" s="44">
        <f t="shared" si="0"/>
        <v>-1.220703119031441E-6</v>
      </c>
      <c r="G38" s="24">
        <v>3752638</v>
      </c>
      <c r="H38" s="24">
        <v>3752500</v>
      </c>
      <c r="I38" s="24">
        <f t="shared" si="1"/>
        <v>-138</v>
      </c>
      <c r="J38" t="str">
        <f t="shared" si="2"/>
        <v>PASS</v>
      </c>
    </row>
    <row r="39" spans="1:10">
      <c r="A39" t="s">
        <v>94</v>
      </c>
      <c r="B39" t="s">
        <v>117</v>
      </c>
      <c r="C39" s="4">
        <v>46217</v>
      </c>
      <c r="D39" s="44">
        <v>17.52</v>
      </c>
      <c r="E39" s="44">
        <v>17.520000457763668</v>
      </c>
      <c r="F39" s="44">
        <f t="shared" si="0"/>
        <v>4.5776366874861196E-7</v>
      </c>
      <c r="G39" s="24">
        <v>1747609</v>
      </c>
      <c r="H39" s="24">
        <v>1747600</v>
      </c>
      <c r="I39" s="24">
        <f t="shared" si="1"/>
        <v>-9</v>
      </c>
      <c r="J39" t="str">
        <f t="shared" si="2"/>
        <v>PASS</v>
      </c>
    </row>
    <row r="40" spans="1:10">
      <c r="A40" t="s">
        <v>94</v>
      </c>
      <c r="B40" t="s">
        <v>117</v>
      </c>
      <c r="C40" s="4">
        <v>46216</v>
      </c>
      <c r="D40" s="44">
        <v>17.399999999999999</v>
      </c>
      <c r="E40" s="44">
        <v>17.39999961853027</v>
      </c>
      <c r="F40" s="44">
        <f t="shared" si="0"/>
        <v>-3.8146972869412821E-7</v>
      </c>
      <c r="G40" s="24">
        <v>2419088</v>
      </c>
      <c r="H40" s="24">
        <v>2419100</v>
      </c>
      <c r="I40" s="24">
        <f t="shared" si="1"/>
        <v>12</v>
      </c>
      <c r="J40" t="str">
        <f t="shared" si="2"/>
        <v>PASS</v>
      </c>
    </row>
    <row r="41" spans="1:10">
      <c r="A41" t="s">
        <v>94</v>
      </c>
      <c r="B41" t="s">
        <v>117</v>
      </c>
      <c r="C41" s="4">
        <v>46213</v>
      </c>
      <c r="D41" s="44">
        <v>16.989999999999998</v>
      </c>
      <c r="E41" s="44">
        <v>16.989999771118161</v>
      </c>
      <c r="F41" s="44">
        <f t="shared" si="0"/>
        <v>-2.2888183792701966E-7</v>
      </c>
      <c r="G41" s="24">
        <v>1423238</v>
      </c>
      <c r="H41" s="24">
        <v>1423200</v>
      </c>
      <c r="I41" s="24">
        <f t="shared" si="1"/>
        <v>-38</v>
      </c>
      <c r="J41" t="str">
        <f t="shared" si="2"/>
        <v>PASS</v>
      </c>
    </row>
    <row r="42" spans="1:10">
      <c r="A42" t="s">
        <v>94</v>
      </c>
      <c r="B42" t="s">
        <v>117</v>
      </c>
      <c r="C42" s="4">
        <v>46212</v>
      </c>
      <c r="D42" s="44">
        <v>16.98</v>
      </c>
      <c r="E42" s="44">
        <v>16.979999542236332</v>
      </c>
      <c r="F42" s="44">
        <f t="shared" si="0"/>
        <v>-4.5776366874861196E-7</v>
      </c>
      <c r="G42" s="24">
        <v>2912196</v>
      </c>
      <c r="H42" s="24">
        <v>2912200</v>
      </c>
      <c r="I42" s="24">
        <f t="shared" si="1"/>
        <v>4</v>
      </c>
      <c r="J42" t="str">
        <f t="shared" si="2"/>
        <v>PASS</v>
      </c>
    </row>
    <row r="43" spans="1:10">
      <c r="A43" t="s">
        <v>94</v>
      </c>
      <c r="B43" t="s">
        <v>117</v>
      </c>
      <c r="C43" s="4">
        <v>46211</v>
      </c>
      <c r="D43" s="44">
        <v>17.34</v>
      </c>
      <c r="E43" s="44">
        <v>17.340000152587891</v>
      </c>
      <c r="F43" s="44">
        <f t="shared" si="0"/>
        <v>1.5258789076710855E-7</v>
      </c>
      <c r="G43" s="24">
        <v>3399168</v>
      </c>
      <c r="H43" s="24">
        <v>3399100</v>
      </c>
      <c r="I43" s="24">
        <f t="shared" si="1"/>
        <v>-68</v>
      </c>
      <c r="J43" t="str">
        <f t="shared" si="2"/>
        <v>PASS</v>
      </c>
    </row>
    <row r="44" spans="1:10">
      <c r="A44" t="s">
        <v>94</v>
      </c>
      <c r="B44" t="s">
        <v>117</v>
      </c>
      <c r="C44" s="4">
        <v>46210</v>
      </c>
      <c r="D44" s="44">
        <v>18.059999999999999</v>
      </c>
      <c r="E44" s="44">
        <v>18.059999465942379</v>
      </c>
      <c r="F44" s="44">
        <f t="shared" si="0"/>
        <v>-5.3405761946123675E-7</v>
      </c>
      <c r="G44" s="24">
        <v>3348651</v>
      </c>
      <c r="H44" s="24">
        <v>3348700</v>
      </c>
      <c r="I44" s="24">
        <f t="shared" si="1"/>
        <v>49</v>
      </c>
      <c r="J44" t="str">
        <f t="shared" si="2"/>
        <v>PASS</v>
      </c>
    </row>
    <row r="45" spans="1:10">
      <c r="A45" t="s">
        <v>94</v>
      </c>
      <c r="B45" t="s">
        <v>117</v>
      </c>
      <c r="C45" s="4">
        <v>46209</v>
      </c>
      <c r="D45" s="44">
        <v>18.14</v>
      </c>
      <c r="E45" s="44">
        <v>18.139999389648441</v>
      </c>
      <c r="F45" s="44">
        <f t="shared" si="0"/>
        <v>-6.1035155951572051E-7</v>
      </c>
      <c r="G45" s="24">
        <v>2623936</v>
      </c>
      <c r="H45" s="24">
        <v>2623900</v>
      </c>
      <c r="I45" s="24">
        <f t="shared" si="1"/>
        <v>-36</v>
      </c>
      <c r="J45" t="str">
        <f t="shared" si="2"/>
        <v>PASS</v>
      </c>
    </row>
    <row r="46" spans="1:10">
      <c r="A46" t="s">
        <v>94</v>
      </c>
      <c r="B46" t="s">
        <v>117</v>
      </c>
      <c r="C46" s="4">
        <v>46205</v>
      </c>
      <c r="D46" s="44">
        <v>17.75</v>
      </c>
      <c r="E46" s="44">
        <v>17.75</v>
      </c>
      <c r="F46" s="44">
        <f t="shared" si="0"/>
        <v>0</v>
      </c>
      <c r="G46" s="24">
        <v>3384399</v>
      </c>
      <c r="H46" s="24">
        <v>3384400</v>
      </c>
      <c r="I46" s="24">
        <f t="shared" si="1"/>
        <v>1</v>
      </c>
      <c r="J46" t="str">
        <f t="shared" si="2"/>
        <v>PASS</v>
      </c>
    </row>
    <row r="47" spans="1:10">
      <c r="A47" t="s">
        <v>94</v>
      </c>
      <c r="B47" t="s">
        <v>117</v>
      </c>
      <c r="C47" s="4">
        <v>46204</v>
      </c>
      <c r="D47" s="44">
        <v>17.149999999999999</v>
      </c>
      <c r="E47" s="44">
        <v>17.14999961853027</v>
      </c>
      <c r="F47" s="44">
        <f t="shared" si="0"/>
        <v>-3.8146972869412821E-7</v>
      </c>
      <c r="G47" s="24">
        <v>3872621</v>
      </c>
      <c r="H47" s="24">
        <v>3872600</v>
      </c>
      <c r="I47" s="24">
        <f t="shared" si="1"/>
        <v>-21</v>
      </c>
      <c r="J47" t="str">
        <f t="shared" si="2"/>
        <v>PASS</v>
      </c>
    </row>
    <row r="48" spans="1:10">
      <c r="A48" t="s">
        <v>94</v>
      </c>
      <c r="B48" t="s">
        <v>118</v>
      </c>
      <c r="C48" s="4">
        <v>46217</v>
      </c>
      <c r="D48" s="44">
        <v>53.69</v>
      </c>
      <c r="E48" s="44">
        <v>53.689998626708977</v>
      </c>
      <c r="F48" s="44">
        <f t="shared" si="0"/>
        <v>-1.3732910204566906E-6</v>
      </c>
      <c r="G48" s="24">
        <v>530959</v>
      </c>
      <c r="H48" s="24">
        <v>530900</v>
      </c>
      <c r="I48" s="24">
        <f t="shared" si="1"/>
        <v>-59</v>
      </c>
      <c r="J48" t="str">
        <f t="shared" si="2"/>
        <v>PASS</v>
      </c>
    </row>
    <row r="49" spans="1:10">
      <c r="A49" t="s">
        <v>94</v>
      </c>
      <c r="B49" t="s">
        <v>118</v>
      </c>
      <c r="C49" s="4">
        <v>46216</v>
      </c>
      <c r="D49" s="44">
        <v>54.54</v>
      </c>
      <c r="E49" s="44">
        <v>54.540000915527337</v>
      </c>
      <c r="F49" s="44">
        <f t="shared" si="0"/>
        <v>9.1552733749722393E-7</v>
      </c>
      <c r="G49" s="24">
        <v>996861</v>
      </c>
      <c r="H49" s="24">
        <v>996800</v>
      </c>
      <c r="I49" s="24">
        <f t="shared" si="1"/>
        <v>-61</v>
      </c>
      <c r="J49" t="str">
        <f t="shared" si="2"/>
        <v>PASS</v>
      </c>
    </row>
    <row r="50" spans="1:10">
      <c r="A50" t="s">
        <v>94</v>
      </c>
      <c r="B50" t="s">
        <v>118</v>
      </c>
      <c r="C50" s="4">
        <v>46213</v>
      </c>
      <c r="D50" s="44">
        <v>52.17</v>
      </c>
      <c r="E50" s="44">
        <v>52.169998168945313</v>
      </c>
      <c r="F50" s="44">
        <f t="shared" si="0"/>
        <v>-1.8310546892053026E-6</v>
      </c>
      <c r="G50" s="24">
        <v>582793</v>
      </c>
      <c r="H50" s="24">
        <v>582800</v>
      </c>
      <c r="I50" s="24">
        <f t="shared" si="1"/>
        <v>7</v>
      </c>
      <c r="J50" t="str">
        <f t="shared" si="2"/>
        <v>PASS</v>
      </c>
    </row>
    <row r="51" spans="1:10">
      <c r="A51" t="s">
        <v>94</v>
      </c>
      <c r="B51" t="s">
        <v>118</v>
      </c>
      <c r="C51" s="4">
        <v>46212</v>
      </c>
      <c r="D51" s="44">
        <v>52.33</v>
      </c>
      <c r="E51" s="44">
        <v>52.330001831054688</v>
      </c>
      <c r="F51" s="44">
        <f t="shared" si="0"/>
        <v>1.8310546892053026E-6</v>
      </c>
      <c r="G51" s="24">
        <v>749082</v>
      </c>
      <c r="H51" s="24">
        <v>749100</v>
      </c>
      <c r="I51" s="24">
        <f t="shared" si="1"/>
        <v>18</v>
      </c>
      <c r="J51" t="str">
        <f t="shared" si="2"/>
        <v>PASS</v>
      </c>
    </row>
    <row r="52" spans="1:10">
      <c r="A52" t="s">
        <v>94</v>
      </c>
      <c r="B52" t="s">
        <v>118</v>
      </c>
      <c r="C52" s="4">
        <v>46211</v>
      </c>
      <c r="D52" s="44">
        <v>51.97</v>
      </c>
      <c r="E52" s="44">
        <v>51.970001220703118</v>
      </c>
      <c r="F52" s="44">
        <f t="shared" si="0"/>
        <v>1.220703119031441E-6</v>
      </c>
      <c r="G52" s="24">
        <v>856622</v>
      </c>
      <c r="H52" s="24">
        <v>856600</v>
      </c>
      <c r="I52" s="24">
        <f t="shared" si="1"/>
        <v>-22</v>
      </c>
      <c r="J52" t="str">
        <f t="shared" si="2"/>
        <v>PASS</v>
      </c>
    </row>
    <row r="53" spans="1:10">
      <c r="A53" t="s">
        <v>94</v>
      </c>
      <c r="B53" t="s">
        <v>118</v>
      </c>
      <c r="C53" s="4">
        <v>46210</v>
      </c>
      <c r="D53" s="44">
        <v>52.96</v>
      </c>
      <c r="E53" s="44">
        <v>52.959999084472663</v>
      </c>
      <c r="F53" s="44">
        <f t="shared" si="0"/>
        <v>-9.1552733749722393E-7</v>
      </c>
      <c r="G53" s="24">
        <v>797765</v>
      </c>
      <c r="H53" s="24">
        <v>797700</v>
      </c>
      <c r="I53" s="24">
        <f t="shared" si="1"/>
        <v>-65</v>
      </c>
      <c r="J53" t="str">
        <f t="shared" si="2"/>
        <v>PASS</v>
      </c>
    </row>
    <row r="54" spans="1:10">
      <c r="A54" t="s">
        <v>94</v>
      </c>
      <c r="B54" t="s">
        <v>118</v>
      </c>
      <c r="C54" s="4">
        <v>46209</v>
      </c>
      <c r="D54" s="44">
        <v>51.54</v>
      </c>
      <c r="E54" s="44">
        <v>51.540000915527337</v>
      </c>
      <c r="F54" s="44">
        <f t="shared" si="0"/>
        <v>9.1552733749722393E-7</v>
      </c>
      <c r="G54" s="24">
        <v>635889</v>
      </c>
      <c r="H54" s="24">
        <v>635900</v>
      </c>
      <c r="I54" s="24">
        <f t="shared" si="1"/>
        <v>11</v>
      </c>
      <c r="J54" t="str">
        <f t="shared" si="2"/>
        <v>PASS</v>
      </c>
    </row>
    <row r="55" spans="1:10">
      <c r="A55" t="s">
        <v>94</v>
      </c>
      <c r="B55" t="s">
        <v>118</v>
      </c>
      <c r="C55" s="4">
        <v>46205</v>
      </c>
      <c r="D55" s="44">
        <v>51.93</v>
      </c>
      <c r="E55" s="44">
        <v>51.930000305175781</v>
      </c>
      <c r="F55" s="44">
        <f t="shared" si="0"/>
        <v>3.0517578153421709E-7</v>
      </c>
      <c r="G55" s="24">
        <v>712028</v>
      </c>
      <c r="H55" s="24">
        <v>711700</v>
      </c>
      <c r="I55" s="24">
        <f t="shared" si="1"/>
        <v>-328</v>
      </c>
      <c r="J55" t="str">
        <f t="shared" si="2"/>
        <v>PASS</v>
      </c>
    </row>
    <row r="56" spans="1:10">
      <c r="A56" t="s">
        <v>94</v>
      </c>
      <c r="B56" t="s">
        <v>118</v>
      </c>
      <c r="C56" s="4">
        <v>46204</v>
      </c>
      <c r="D56" s="44">
        <v>50.79</v>
      </c>
      <c r="E56" s="44">
        <v>50.790000915527337</v>
      </c>
      <c r="F56" s="44">
        <f t="shared" si="0"/>
        <v>9.1552733749722393E-7</v>
      </c>
      <c r="G56" s="24">
        <v>1605069</v>
      </c>
      <c r="H56" s="24">
        <v>1605100</v>
      </c>
      <c r="I56" s="24">
        <f t="shared" si="1"/>
        <v>31</v>
      </c>
      <c r="J56" t="str">
        <f t="shared" si="2"/>
        <v>PASS</v>
      </c>
    </row>
  </sheetData>
  <mergeCells count="2">
    <mergeCell ref="A1:J1"/>
    <mergeCell ref="A3:J3"/>
  </mergeCells>
  <conditionalFormatting sqref="D5:D8">
    <cfRule type="containsText" dxfId="3" priority="1" operator="containsText" text="PASS"/>
    <cfRule type="containsText" dxfId="2" priority="2" operator="containsText" text="FAIL"/>
  </conditionalFormatting>
  <conditionalFormatting sqref="J11:J56">
    <cfRule type="containsText" dxfId="1" priority="3" operator="containsText" text="PASS"/>
    <cfRule type="containsText" dxfId="0" priority="4" operator="containsText" text="FAIL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18"/>
  <sheetViews>
    <sheetView showGridLines="0" workbookViewId="0"/>
  </sheetViews>
  <sheetFormatPr defaultRowHeight="14.25"/>
  <cols>
    <col min="1" max="1" width="9" customWidth="1"/>
    <col min="2" max="2" width="32" customWidth="1"/>
    <col min="3" max="3" width="24" customWidth="1"/>
    <col min="4" max="4" width="62" customWidth="1"/>
    <col min="5" max="5" width="22" customWidth="1"/>
    <col min="6" max="6" width="44" customWidth="1"/>
  </cols>
  <sheetData>
    <row r="1" spans="1:6" ht="27.95" customHeight="1">
      <c r="A1" s="52" t="s">
        <v>176</v>
      </c>
      <c r="B1" s="51"/>
      <c r="C1" s="51"/>
      <c r="D1" s="51"/>
      <c r="E1" s="51"/>
      <c r="F1" s="51"/>
    </row>
    <row r="3" spans="1:6" ht="27.95" customHeight="1">
      <c r="A3" s="1" t="s">
        <v>177</v>
      </c>
      <c r="B3" s="2" t="s">
        <v>178</v>
      </c>
      <c r="C3" s="2" t="s">
        <v>179</v>
      </c>
      <c r="D3" s="2" t="s">
        <v>180</v>
      </c>
      <c r="E3" s="2" t="s">
        <v>181</v>
      </c>
      <c r="F3" s="3" t="s">
        <v>26</v>
      </c>
    </row>
    <row r="4" spans="1:6" ht="28.5">
      <c r="A4" t="s">
        <v>182</v>
      </c>
      <c r="B4" t="s">
        <v>183</v>
      </c>
      <c r="C4" t="s">
        <v>184</v>
      </c>
      <c r="D4" s="41" t="s">
        <v>185</v>
      </c>
      <c r="E4" s="41" t="s">
        <v>186</v>
      </c>
      <c r="F4" s="41" t="s">
        <v>187</v>
      </c>
    </row>
    <row r="5" spans="1:6" ht="28.5">
      <c r="A5" t="s">
        <v>188</v>
      </c>
      <c r="B5" t="s">
        <v>189</v>
      </c>
      <c r="C5" t="s">
        <v>184</v>
      </c>
      <c r="D5" s="41" t="s">
        <v>190</v>
      </c>
      <c r="E5" s="41" t="s">
        <v>186</v>
      </c>
      <c r="F5" s="41" t="s">
        <v>191</v>
      </c>
    </row>
    <row r="6" spans="1:6" ht="28.5">
      <c r="A6" t="s">
        <v>192</v>
      </c>
      <c r="B6" t="s">
        <v>193</v>
      </c>
      <c r="C6" t="s">
        <v>175</v>
      </c>
      <c r="D6" s="41" t="s">
        <v>194</v>
      </c>
      <c r="E6" s="41" t="s">
        <v>195</v>
      </c>
      <c r="F6" s="41" t="s">
        <v>196</v>
      </c>
    </row>
    <row r="7" spans="1:6">
      <c r="A7" t="s">
        <v>197</v>
      </c>
      <c r="B7" t="s">
        <v>198</v>
      </c>
      <c r="C7" t="s">
        <v>199</v>
      </c>
      <c r="D7" s="41" t="s">
        <v>200</v>
      </c>
      <c r="E7" s="41" t="s">
        <v>186</v>
      </c>
      <c r="F7" s="41" t="s">
        <v>201</v>
      </c>
    </row>
    <row r="8" spans="1:6">
      <c r="A8" t="s">
        <v>202</v>
      </c>
      <c r="B8" t="s">
        <v>203</v>
      </c>
      <c r="C8" t="s">
        <v>94</v>
      </c>
      <c r="D8" s="41" t="s">
        <v>204</v>
      </c>
      <c r="E8" s="41" t="s">
        <v>205</v>
      </c>
      <c r="F8" s="41" t="s">
        <v>206</v>
      </c>
    </row>
    <row r="9" spans="1:6">
      <c r="A9" t="s">
        <v>207</v>
      </c>
      <c r="B9" t="s">
        <v>208</v>
      </c>
      <c r="C9" t="s">
        <v>94</v>
      </c>
      <c r="D9" s="41" t="s">
        <v>209</v>
      </c>
      <c r="E9" s="41" t="s">
        <v>205</v>
      </c>
      <c r="F9" s="41" t="s">
        <v>206</v>
      </c>
    </row>
    <row r="10" spans="1:6">
      <c r="A10" t="s">
        <v>210</v>
      </c>
      <c r="B10" t="s">
        <v>211</v>
      </c>
      <c r="C10" t="s">
        <v>94</v>
      </c>
      <c r="D10" s="41" t="s">
        <v>212</v>
      </c>
      <c r="E10" s="41" t="s">
        <v>205</v>
      </c>
      <c r="F10" s="41" t="s">
        <v>206</v>
      </c>
    </row>
    <row r="11" spans="1:6">
      <c r="A11" t="s">
        <v>213</v>
      </c>
      <c r="B11" t="s">
        <v>214</v>
      </c>
      <c r="C11" t="s">
        <v>94</v>
      </c>
      <c r="D11" s="41" t="s">
        <v>215</v>
      </c>
      <c r="E11" s="41" t="s">
        <v>205</v>
      </c>
      <c r="F11" s="41" t="s">
        <v>206</v>
      </c>
    </row>
    <row r="12" spans="1:6">
      <c r="A12" t="s">
        <v>216</v>
      </c>
      <c r="B12" t="s">
        <v>217</v>
      </c>
      <c r="C12" t="s">
        <v>218</v>
      </c>
      <c r="D12" s="41" t="s">
        <v>219</v>
      </c>
      <c r="E12" s="41" t="s">
        <v>220</v>
      </c>
      <c r="F12" s="41" t="s">
        <v>221</v>
      </c>
    </row>
    <row r="13" spans="1:6">
      <c r="A13" t="s">
        <v>222</v>
      </c>
      <c r="B13" t="s">
        <v>223</v>
      </c>
      <c r="C13" t="s">
        <v>218</v>
      </c>
      <c r="D13" s="41" t="s">
        <v>224</v>
      </c>
      <c r="E13" s="41" t="s">
        <v>225</v>
      </c>
      <c r="F13" s="41" t="s">
        <v>226</v>
      </c>
    </row>
    <row r="14" spans="1:6">
      <c r="A14" t="s">
        <v>227</v>
      </c>
      <c r="B14" t="s">
        <v>228</v>
      </c>
      <c r="C14" t="s">
        <v>218</v>
      </c>
      <c r="D14" s="41" t="s">
        <v>229</v>
      </c>
      <c r="E14" s="41" t="s">
        <v>230</v>
      </c>
      <c r="F14" s="41" t="s">
        <v>231</v>
      </c>
    </row>
    <row r="15" spans="1:6">
      <c r="A15" t="s">
        <v>232</v>
      </c>
      <c r="B15" t="s">
        <v>233</v>
      </c>
      <c r="C15" t="s">
        <v>218</v>
      </c>
      <c r="D15" s="41" t="s">
        <v>234</v>
      </c>
      <c r="E15" s="41" t="s">
        <v>220</v>
      </c>
      <c r="F15" s="41" t="s">
        <v>235</v>
      </c>
    </row>
    <row r="16" spans="1:6">
      <c r="A16" t="s">
        <v>236</v>
      </c>
      <c r="B16" t="s">
        <v>237</v>
      </c>
      <c r="C16" t="s">
        <v>238</v>
      </c>
      <c r="D16" s="41" t="s">
        <v>239</v>
      </c>
      <c r="E16" s="41" t="s">
        <v>240</v>
      </c>
      <c r="F16" s="41" t="s">
        <v>241</v>
      </c>
    </row>
    <row r="18" spans="1:6" ht="38.1" customHeight="1">
      <c r="A18" s="77" t="s">
        <v>242</v>
      </c>
      <c r="B18" s="73"/>
      <c r="C18" s="73"/>
      <c r="D18" s="73"/>
      <c r="E18" s="73"/>
      <c r="F18" s="74"/>
    </row>
  </sheetData>
  <mergeCells count="2">
    <mergeCell ref="A1:F1"/>
    <mergeCell ref="A18:F1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Synthese</vt:lpstr>
      <vt:lpstr>Hypotheses</vt:lpstr>
      <vt:lpstr>Cours Hebdo</vt:lpstr>
      <vt:lpstr>Rendements</vt:lpstr>
      <vt:lpstr>Regressions</vt:lpstr>
      <vt:lpstr>Structure Capital</vt:lpstr>
      <vt:lpstr>Controles</vt:lpstr>
      <vt:lpstr>Sources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Sidetrade — Analyse bêta 2 ans hebdomadaire (au 15/07/2026)</dc:title>
  <dc:creator>Hamza Ben Chaouch</dc:creator>
  <cp:lastModifiedBy>Hamza Ben Chaouch</cp:lastModifiedBy>
  <dcterms:created xsi:type="dcterms:W3CDTF">2026-07-16T22:12:03Z</dcterms:created>
  <dcterms:modified xsi:type="dcterms:W3CDTF">2026-07-16T22:12:38Z</dcterms:modified>
</cp:coreProperties>
</file>