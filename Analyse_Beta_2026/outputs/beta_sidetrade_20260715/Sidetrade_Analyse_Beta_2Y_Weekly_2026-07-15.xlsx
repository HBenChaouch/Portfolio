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38de7899694417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ynthese" sheetId="1" r:id="R27c3e0f2efed4624"/>
    <x:sheet xmlns:r="http://schemas.openxmlformats.org/officeDocument/2006/relationships" name="Hypotheses" sheetId="2" r:id="R93191765bf414646"/>
    <x:sheet xmlns:r="http://schemas.openxmlformats.org/officeDocument/2006/relationships" name="Cours Hebdo" sheetId="3" r:id="Re0e1422461134a06"/>
    <x:sheet xmlns:r="http://schemas.openxmlformats.org/officeDocument/2006/relationships" name="Rendements" sheetId="4" r:id="Rf15da67de8f74438"/>
    <x:sheet xmlns:r="http://schemas.openxmlformats.org/officeDocument/2006/relationships" name="Regressions" sheetId="5" r:id="Re7a515a6ddbd4f1b"/>
    <x:sheet xmlns:r="http://schemas.openxmlformats.org/officeDocument/2006/relationships" name="Structure Capital" sheetId="6" r:id="R6e09466eb2534249"/>
    <x:sheet xmlns:r="http://schemas.openxmlformats.org/officeDocument/2006/relationships" name="Controles" sheetId="7" r:id="R2af980503ee04470"/>
    <x:sheet xmlns:r="http://schemas.openxmlformats.org/officeDocument/2006/relationships" name="Sources" sheetId="8" r:id="Rdc859e88461d4378"/>
  </x:sheets>
</x:workbook>
</file>

<file path=xl/comments1.xml><?xml version="1.0" encoding="utf-8"?>
<x:comments xmlns:x="http://schemas.openxmlformats.org/spreadsheetml/2006/main">
  <x:authors>
    <x:author>tc={DB23A515-4059-D584-1ECC-0BB2ADEE4493}</x:author>
    <x:author>tc={BA612711-F12C-3443-9C59-FB8B960202FF}</x:author>
    <x:author>tc={41EC8362-2263-3C84-907D-E79182C00605}</x:author>
    <x:author>tc={EBF64736-E936-A8A4-12FD-6F8509D017DA}</x:author>
    <x:author>tc={34631338-21B6-F42F-B73B-FE484D023F85}</x:author>
    <x:author>tc={FC44208C-84F2-9EFE-D777-7F73F53588FA}</x:author>
    <x:author>tc={2E54AC26-E517-7200-F632-D009546B9652}</x:author>
    <x:author>tc={713E6BD4-0F77-6248-358F-D24CEAFBED2C}</x:author>
    <x:author>tc={C4A51329-827B-2DDA-60A0-739F8E05D5CF}</x:author>
    <x:author>tc={ECAAD8CE-56D0-0264-3DED-B01014123B5F}</x:author>
    <x:author>tc={3F81633A-40B6-5E5D-B246-184831E285FB}</x:author>
    <x:author>tc={3BC8F809-B504-9EB5-5FAE-BB4F23ED890F}</x:author>
    <x:author>tc={230D8EA9-107B-2755-632B-547AE45DA231}</x:author>
    <x:author>tc={EC106C13-0C01-9640-985C-F2E239CB6411}</x:author>
    <x:author>tc={5CE80443-4158-E75F-71A5-49783735AA0A}</x:author>
    <x:author>tc={C151F1A7-777F-BF0C-15D5-B46B0AB944DD}</x:author>
  </x:authors>
  <x:commentList>
    <x:comment ref="C6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Yahoo Finance chart API | As-of: 2026-07-15 | Closing price used for market capitalization.</x:t>
        </x:r>
      </x:text>
    </x:comment>
    <x:comment ref="D6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SEC company facts / latest 10-Q | As-of: 2026-04-30 | Accession: 0001628280-26-032255.</x:t>
        </x:r>
      </x:text>
    </x:comment>
    <x:comment ref="F6" authorId="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SEC company facts / latest 10-Q | As-of: 2026-03-31 | Convertible debt + finance leases.</x:t>
        </x:r>
      </x:text>
    </x:comment>
    <x:comment ref="H6" authorId="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Assumption: normalized 25% tax rate used consistently for US peers in the Hamada unlevering formula.</x:t>
        </x:r>
      </x:text>
    </x:comment>
    <x:comment ref="C7" authorId="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Yahoo Finance chart API | As-of: 2026-07-15 | Closing price used for market capitalization.</x:t>
        </x:r>
      </x:text>
    </x:comment>
    <x:comment ref="D7" authorId="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SEC company facts / latest 10-Q | As-of: 2026-04-30 | Accession: 0001628280-26-032387.</x:t>
        </x:r>
      </x:text>
    </x:comment>
    <x:comment ref="F7" authorId="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SEC company facts / latest 10-Q | As-of: 2026-03-31 | Long-term debt carrying amount (includes convertible debt).</x:t>
        </x:r>
      </x:text>
    </x:comment>
    <x:comment ref="H7" authorId="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Assumption: normalized 25% tax rate used consistently for US peers in the Hamada unlevering formula.</x:t>
        </x:r>
      </x:text>
    </x:comment>
    <x:comment ref="C8" authorId="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Yahoo Finance chart API | As-of: 2026-07-15 | Closing price used for market capitalization.</x:t>
        </x:r>
      </x:text>
    </x:comment>
    <x:comment ref="D8" authorId="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SEC company facts / latest 10-Q | As-of: 2026-05-22 | Accession: 0001902733-26-000066.</x:t>
        </x:r>
      </x:text>
    </x:comment>
    <x:comment ref="F8" authorId="1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SEC company facts / latest 10-Q | As-of: 2026-04-30 | Long-term debt + finance leases.</x:t>
        </x:r>
      </x:text>
    </x:comment>
    <x:comment ref="H8" authorId="1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Assumption: normalized 25% tax rate used consistently for US peers in the Hamada unlevering formula.</x:t>
        </x:r>
      </x:text>
    </x:comment>
    <x:comment ref="C9" authorId="1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Yahoo Finance chart API | As-of: 2026-07-15 | Closing price used for market capitalization.</x:t>
        </x:r>
      </x:text>
    </x:comment>
    <x:comment ref="D9" authorId="1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SEC company facts / latest 10-Q | As-of: 2026-03-31 | Accession: 0001445305-26-000045.</x:t>
        </x:r>
      </x:text>
    </x:comment>
    <x:comment ref="F9" authorId="1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SEC company facts / latest 10-Q | As-of: 2026-03-31 | Convertible debt + finance leases; shares = Q1 basic weighted average.</x:t>
        </x:r>
      </x:text>
    </x:comment>
    <x:comment ref="H9" authorId="1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Assumption: normalized 25% tax rate used consistently for US peers in the Hamada unlevering formula.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3">
    <x:numFmt numFmtId="200" formatCode="yyyy-mm-dd"/>
    <x:numFmt numFmtId="201" formatCode="&quot;€&quot;0.00;[Red](&quot;€&quot;0.00);-"/>
    <x:numFmt numFmtId="202" formatCode="#,##0.0"/>
    <x:numFmt numFmtId="203" formatCode="&quot;$&quot;0.00;[Red](&quot;$&quot;0.00);-"/>
    <x:numFmt numFmtId="204" formatCode="0.00%;[Red](0.00%);-"/>
    <x:numFmt numFmtId="205" formatCode="#,##0;[Red](#,##0);-"/>
    <x:numFmt numFmtId="206" formatCode="0.00x;[Red](0.00x);-"/>
    <x:numFmt numFmtId="207" formatCode="0.000;[Red](0.000);-"/>
    <x:numFmt numFmtId="208" formatCode="0.000"/>
    <x:numFmt numFmtId="209" formatCode="&quot;$&quot;#,##0;[Red](&quot;$&quot;#,##0);-"/>
    <x:numFmt numFmtId="210" formatCode="0.0%;[Red](0.0%);-"/>
    <x:numFmt numFmtId="211" formatCode="0.0000"/>
    <x:numFmt numFmtId="212" formatCode="0&quot;/46&quot;"/>
  </x:numFmts>
  <x:fonts count="10">
    <x:font>
      <x:sz val="11"/>
      <x:name val="Carlito"/>
    </x:font>
    <x:font>
      <x:b/>
      <x:sz val="11"/>
      <x:color rgb="FFFFFFFF"/>
      <x:name val="Carlito"/>
    </x:font>
    <x:font>
      <x:sz val="11"/>
      <x:color rgb="FF1F2937"/>
      <x:name val="Carlito"/>
    </x:font>
    <x:font>
      <x:b/>
      <x:sz val="11"/>
      <x:color rgb="FF000000"/>
      <x:name val="Carlito"/>
    </x:font>
    <x:font>
      <x:i/>
      <x:sz val="11"/>
      <x:color rgb="FF1F2937"/>
      <x:name val="Carlito"/>
    </x:font>
    <x:font>
      <x:sz val="11"/>
      <x:color rgb="FF0000FF"/>
      <x:name val="Carlito"/>
    </x:font>
    <x:font>
      <x:sz val="11"/>
      <x:color rgb="FF008000"/>
      <x:name val="Carlito"/>
    </x:font>
    <x:font>
      <x:b/>
      <x:sz val="11"/>
      <x:color rgb="FF1F2937"/>
      <x:name val="Carlito"/>
    </x:font>
    <x:font>
      <x:b/>
      <x:sz val="11"/>
      <x:color rgb="FF008000"/>
      <x:name val="Carlito"/>
    </x:font>
    <x:font>
      <x:b/>
      <x:sz val="11"/>
      <x:color rgb="FFFFFFFF"/>
      <x:name val="Arial"/>
    </x:font>
  </x:fonts>
  <x:fills count="8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3F4F6"/>
      </x:patternFill>
    </x:fill>
    <x:fill>
      <x:patternFill patternType="solid">
        <x:fgColor rgb="FFE7E6E6"/>
      </x:patternFill>
    </x:fill>
    <x:fill>
      <x:patternFill patternType="solid">
        <x:fgColor rgb="FFFFF2CC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</x:fills>
  <x:borders count="30">
    <x:border/>
    <x:border>
      <x:left style="thin">
        <x:color rgb="FFB7C3D0"/>
      </x:left>
      <x:top style="thin">
        <x:color rgb="FFB7C3D0"/>
      </x:top>
      <x:bottom style="thin">
        <x:color rgb="FFB7C3D0"/>
      </x:bottom>
    </x:border>
    <x:border>
      <x:top style="thin">
        <x:color rgb="FFB7C3D0"/>
      </x:top>
      <x:bottom style="thin">
        <x:color rgb="FFB7C3D0"/>
      </x:bottom>
    </x:border>
    <x:border>
      <x:right style="thin">
        <x:color rgb="FFB7C3D0"/>
      </x:right>
      <x:top style="thin">
        <x:color rgb="FFB7C3D0"/>
      </x:top>
      <x:bottom style="thin">
        <x:color rgb="FFB7C3D0"/>
      </x:bottom>
    </x:border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  <x:border>
      <x:left style="thin">
        <x:color rgb="FFB7C3D0"/>
      </x:left>
      <x:right style="thin">
        <x:color rgb="FFB7C3D0"/>
      </x:right>
      <x:top style="thin">
        <x:color rgb="FFB7C3D0"/>
      </x:top>
      <x:bottom style="thin">
        <x:color rgb="FFB7C3D0"/>
      </x:bottom>
    </x:border>
    <x:border>
      <x:left style="thin">
        <x:color rgb="FFB7C3D0"/>
      </x:left>
      <x:top style="thin">
        <x:color rgb="FFB7C3D0"/>
      </x:top>
    </x:border>
    <x:border>
      <x:right style="thin">
        <x:color rgb="FFB7C3D0"/>
      </x:right>
      <x:top style="thin">
        <x:color rgb="FFB7C3D0"/>
      </x:top>
    </x:border>
    <x:border>
      <x:left style="thin">
        <x:color rgb="FFB7C3D0"/>
      </x:left>
    </x:border>
    <x:border>
      <x:right style="thin">
        <x:color rgb="FFB7C3D0"/>
      </x:right>
    </x:border>
    <x:border>
      <x:left style="thin">
        <x:color rgb="FFB7C3D0"/>
      </x:left>
      <x:bottom style="thin">
        <x:color rgb="FFB7C3D0"/>
      </x:bottom>
    </x:border>
    <x:border>
      <x:right style="thin">
        <x:color rgb="FFB7C3D0"/>
      </x:right>
      <x:bottom style="thin">
        <x:color rgb="FFB7C3D0"/>
      </x:bottom>
    </x:border>
    <x:border>
      <x:top style="thin">
        <x:color rgb="FFB7C3D0"/>
      </x:top>
    </x:border>
    <x:border>
      <x:bottom style="thin">
        <x:color rgb="FFB7C3D0"/>
      </x:bottom>
    </x:border>
    <x:border>
      <x:left style="medium">
        <x:color rgb="FF70AD47"/>
      </x:left>
      <x:top style="medium">
        <x:color rgb="FF70AD47"/>
      </x:top>
    </x:border>
    <x:border>
      <x:top style="medium">
        <x:color rgb="FF70AD47"/>
      </x:top>
    </x:border>
    <x:border>
      <x:right style="medium">
        <x:color rgb="FF70AD47"/>
      </x:right>
      <x:top style="medium">
        <x:color rgb="FF70AD47"/>
      </x:top>
    </x:border>
    <x:border>
      <x:left style="medium">
        <x:color rgb="FF70AD47"/>
      </x:left>
    </x:border>
    <x:border>
      <x:right style="medium">
        <x:color rgb="FF70AD47"/>
      </x:right>
    </x:border>
    <x:border>
      <x:left style="medium">
        <x:color rgb="FF70AD47"/>
      </x:left>
      <x:bottom style="medium">
        <x:color rgb="FF70AD47"/>
      </x:bottom>
    </x:border>
    <x:border>
      <x:bottom style="medium">
        <x:color rgb="FF70AD47"/>
      </x:bottom>
    </x:border>
    <x:border>
      <x:right style="medium">
        <x:color rgb="FF70AD47"/>
      </x:right>
      <x:bottom style="medium">
        <x:color rgb="FF70AD47"/>
      </x:bottom>
    </x:border>
  </x:borders>
  <x:cellStyleXfs count="1">
    <x:xf numFmtId="0" fontId="0" fillId="0" borderId="0"/>
  </x:cellStyleXfs>
  <x:cellXfs count="1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vertical="center" wrapText="1"/>
    </x:xf>
    <x:xf numFmtId="0" fontId="3" fillId="4" borderId="3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0" fontId="0" fillId="0" borderId="4" xfId="0" applyNumberFormat="1" applyFont="1" applyFill="1" applyBorder="1"/>
    <x:xf numFmtId="200" fontId="0" fillId="0" borderId="5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200" fontId="0" fillId="0" borderId="8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1" xfId="0" applyNumberFormat="1" applyFont="1" applyFill="1" applyBorder="1"/>
    <x:xf numFmtId="0" fontId="2" fillId="5" borderId="2" xfId="0" applyNumberFormat="1" applyFont="1" applyFill="1" applyBorder="1"/>
    <x:xf numFmtId="0" fontId="2" fillId="5" borderId="3" xfId="0" applyNumberFormat="1" applyFont="1" applyFill="1" applyBorder="1"/>
    <x:xf numFmtId="0" fontId="2" fillId="5" borderId="1" xfId="0" applyNumberFormat="1" applyFont="1" applyFill="1" applyBorder="1" applyAlignment="1">
      <x:alignment wrapText="1"/>
    </x:xf>
    <x:xf numFmtId="0" fontId="2" fillId="5" borderId="2" xfId="0" applyNumberFormat="1" applyFont="1" applyFill="1" applyBorder="1" applyAlignment="1">
      <x:alignment wrapText="1"/>
    </x:xf>
    <x:xf numFmtId="0" fontId="2" fillId="5" borderId="3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0" fontId="4" fillId="0" borderId="0" xfId="0" applyNumberFormat="1" applyFont="1" applyFill="1" applyBorder="1"/>
    <x:xf numFmtId="204" fontId="0" fillId="0" borderId="0" xfId="0" applyNumberFormat="1" applyFont="1" applyFill="1" applyBorder="1"/>
    <x:xf numFmtId="205" fontId="0" fillId="0" borderId="0" xfId="0" applyNumberFormat="1" applyFont="1" applyFill="1" applyBorder="1"/>
    <x:xf numFmtId="205" fontId="1" fillId="2" borderId="0" xfId="0" applyNumberFormat="1" applyFont="1" applyFill="1" applyBorder="1" applyAlignment="1">
      <x:alignment vertical="center"/>
    </x:xf>
    <x:xf numFmtId="205" fontId="3" fillId="4" borderId="2" xfId="0" applyNumberFormat="1" applyFont="1" applyFill="1" applyBorder="1" applyAlignment="1">
      <x:alignment vertical="center" wrapText="1"/>
    </x:xf>
    <x:xf numFmtId="206" fontId="0" fillId="0" borderId="0" xfId="0" applyNumberFormat="1" applyFont="1" applyFill="1" applyBorder="1"/>
    <x:xf numFmtId="206" fontId="1" fillId="2" borderId="0" xfId="0" applyNumberFormat="1" applyFont="1" applyFill="1" applyBorder="1" applyAlignment="1">
      <x:alignment vertical="center"/>
    </x:xf>
    <x:xf numFmtId="206" fontId="3" fillId="4" borderId="2" xfId="0" applyNumberFormat="1" applyFont="1" applyFill="1" applyBorder="1" applyAlignment="1">
      <x:alignment vertical="center" wrapText="1"/>
    </x:xf>
    <x:xf numFmtId="207" fontId="0" fillId="0" borderId="0" xfId="0" applyNumberFormat="1" applyFont="1" applyFill="1" applyBorder="1"/>
    <x:xf numFmtId="207" fontId="1" fillId="2" borderId="0" xfId="0" applyNumberFormat="1" applyFont="1" applyFill="1" applyBorder="1" applyAlignment="1">
      <x:alignment vertical="center"/>
    </x:xf>
    <x:xf numFmtId="207" fontId="3" fillId="4" borderId="2" xfId="0" applyNumberFormat="1" applyFont="1" applyFill="1" applyBorder="1" applyAlignment="1">
      <x:alignment vertical="center" wrapText="1"/>
    </x:xf>
    <x:xf numFmtId="204" fontId="1" fillId="2" borderId="0" xfId="0" applyNumberFormat="1" applyFont="1" applyFill="1" applyBorder="1" applyAlignment="1">
      <x:alignment vertical="center"/>
    </x:xf>
    <x:xf numFmtId="204" fontId="3" fillId="4" borderId="2" xfId="0" applyNumberFormat="1" applyFont="1" applyFill="1" applyBorder="1" applyAlignment="1">
      <x:alignment vertical="center" wrapText="1"/>
    </x:xf>
    <x:xf numFmtId="208" fontId="0" fillId="0" borderId="0" xfId="0" applyNumberFormat="1" applyFont="1" applyFill="1" applyBorder="1"/>
    <x:xf numFmtId="208" fontId="1" fillId="2" borderId="0" xfId="0" applyNumberFormat="1" applyFont="1" applyFill="1" applyBorder="1" applyAlignment="1">
      <x:alignment vertical="center"/>
    </x:xf>
    <x:xf numFmtId="208" fontId="3" fillId="4" borderId="2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/>
    <x:xf numFmtId="0" fontId="0" fillId="5" borderId="2" xfId="0" applyNumberFormat="1" applyFont="1" applyFill="1" applyBorder="1"/>
    <x:xf numFmtId="0" fontId="0" fillId="5" borderId="3" xfId="0" applyNumberFormat="1" applyFont="1" applyFill="1" applyBorder="1"/>
    <x:xf numFmtId="0" fontId="0" fillId="5" borderId="1" xfId="0" applyNumberFormat="1" applyFont="1" applyFill="1" applyBorder="1" applyAlignment="1">
      <x:alignment wrapText="1"/>
    </x:xf>
    <x:xf numFmtId="0" fontId="0" fillId="5" borderId="2" xfId="0" applyNumberFormat="1" applyFont="1" applyFill="1" applyBorder="1" applyAlignment="1">
      <x:alignment wrapText="1"/>
    </x:xf>
    <x:xf numFmtId="0" fontId="0" fillId="5" borderId="3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1" xfId="0" applyNumberFormat="1" applyFont="1" applyFill="1" applyBorder="1"/>
    <x:xf numFmtId="0" fontId="5" fillId="6" borderId="3" xfId="0" applyNumberFormat="1" applyFont="1" applyFill="1" applyBorder="1"/>
    <x:xf numFmtId="0" fontId="5" fillId="6" borderId="13" xfId="0" applyNumberFormat="1" applyFont="1" applyFill="1" applyBorder="1"/>
    <x:xf numFmtId="0" fontId="6" fillId="0" borderId="0" xfId="0" applyNumberFormat="1" applyFont="1" applyFill="1" applyBorder="1"/>
    <x:xf numFmtId="203" fontId="5" fillId="6" borderId="1" xfId="0" applyNumberFormat="1" applyFont="1" applyFill="1" applyBorder="1"/>
    <x:xf fontId="5" fillId="6" borderId="3" xfId="0" applyNumberFormat="0" applyFont="1" applyFill="1" applyBorder="1"/>
    <x:xf numFmtId="209" fontId="0" fillId="0" borderId="0" xfId="0" applyNumberFormat="1" applyFont="1" applyFill="1" applyBorder="1"/>
    <x:xf numFmtId="209" fontId="5" fillId="6" borderId="13" xfId="0" applyNumberFormat="1" applyFont="1" applyFill="1" applyBorder="1"/>
    <x:xf numFmtId="210" fontId="0" fillId="0" borderId="0" xfId="0" applyNumberFormat="1" applyFont="1" applyFill="1" applyBorder="1"/>
    <x:xf numFmtId="210" fontId="5" fillId="6" borderId="13" xfId="0" applyNumberFormat="1" applyFont="1" applyFill="1" applyBorder="1"/>
    <x:xf numFmtId="206" fontId="6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6" fontId="5" fillId="6" borderId="13" xfId="0" applyNumberFormat="1" applyFont="1" applyFill="1" applyBorder="1"/>
    <x:xf numFmtId="204" fontId="5" fillId="6" borderId="13" xfId="0" applyNumberFormat="1" applyFont="1" applyFill="1" applyBorder="1"/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7" fillId="7" borderId="1" xfId="0" applyNumberFormat="1" applyFont="1" applyFill="1" applyBorder="1"/>
    <x:xf numFmtId="0" fontId="7" fillId="7" borderId="2" xfId="0" applyNumberFormat="1" applyFont="1" applyFill="1" applyBorder="1"/>
    <x:xf numFmtId="0" fontId="7" fillId="7" borderId="3" xfId="0" applyNumberFormat="1" applyFont="1" applyFill="1" applyBorder="1"/>
    <x:xf numFmtId="0" fontId="7" fillId="7" borderId="1" xfId="0" applyNumberFormat="1" applyFont="1" applyFill="1" applyBorder="1" applyAlignment="1">
      <x:alignment wrapText="1"/>
    </x:xf>
    <x:xf numFmtId="0" fontId="7" fillId="7" borderId="2" xfId="0" applyNumberFormat="1" applyFont="1" applyFill="1" applyBorder="1" applyAlignment="1">
      <x:alignment wrapText="1"/>
    </x:xf>
    <x:xf numFmtId="0" fontId="7" fillId="7" borderId="3" xfId="0" applyNumberFormat="1" applyFont="1" applyFill="1" applyBorder="1" applyAlignment="1">
      <x:alignment wrapText="1"/>
    </x:xf>
    <x:xf numFmtId="211" fontId="0" fillId="0" borderId="0" xfId="0" applyNumberFormat="1" applyFont="1" applyFill="1" applyBorder="1"/>
    <x:xf numFmtId="0" fontId="0" fillId="7" borderId="1" xfId="0" applyNumberFormat="1" applyFont="1" applyFill="1" applyBorder="1"/>
    <x:xf numFmtId="0" fontId="0" fillId="7" borderId="2" xfId="0" applyNumberFormat="1" applyFont="1" applyFill="1" applyBorder="1"/>
    <x:xf numFmtId="0" fontId="0" fillId="7" borderId="3" xfId="0" applyNumberFormat="1" applyFont="1" applyFill="1" applyBorder="1"/>
    <x:xf numFmtId="0" fontId="0" fillId="7" borderId="1" xfId="0" applyNumberFormat="1" applyFont="1" applyFill="1" applyBorder="1" applyAlignment="1">
      <x:alignment wrapText="1"/>
    </x:xf>
    <x:xf numFmtId="0" fontId="0" fillId="7" borderId="2" xfId="0" applyNumberFormat="1" applyFont="1" applyFill="1" applyBorder="1" applyAlignment="1">
      <x:alignment wrapText="1"/>
    </x:xf>
    <x:xf numFmtId="0" fontId="0" fillId="7" borderId="3" xfId="0" applyNumberFormat="1" applyFont="1" applyFill="1" applyBorder="1" applyAlignment="1">
      <x:alignment wrapText="1"/>
    </x:xf>
    <x:xf numFmtId="0" fontId="7" fillId="6" borderId="0" xfId="0" applyNumberFormat="1" applyFont="1" applyFill="1" applyBorder="1"/>
    <x:xf numFmtId="0" fontId="7" fillId="6" borderId="14" xfId="0" applyNumberFormat="1" applyFont="1" applyFill="1" applyBorder="1"/>
    <x:xf numFmtId="0" fontId="7" fillId="6" borderId="15" xfId="0" applyNumberFormat="1" applyFont="1" applyFill="1" applyBorder="1"/>
    <x:xf numFmtId="0" fontId="7" fillId="6" borderId="16" xfId="0" applyNumberFormat="1" applyFont="1" applyFill="1" applyBorder="1"/>
    <x:xf numFmtId="0" fontId="7" fillId="6" borderId="17" xfId="0" applyNumberFormat="1" applyFont="1" applyFill="1" applyBorder="1"/>
    <x:xf numFmtId="0" fontId="7" fillId="6" borderId="18" xfId="0" applyNumberFormat="1" applyFont="1" applyFill="1" applyBorder="1"/>
    <x:xf numFmtId="0" fontId="7" fillId="6" borderId="19" xfId="0" applyNumberFormat="1" applyFont="1" applyFill="1" applyBorder="1"/>
    <x:xf numFmtId="0" fontId="7" fillId="6" borderId="14" xfId="0" applyNumberFormat="1" applyFont="1" applyFill="1" applyBorder="1" applyAlignment="1">
      <x:alignment horizontal="center"/>
    </x:xf>
    <x:xf numFmtId="0" fontId="7" fillId="6" borderId="15" xfId="0" applyNumberFormat="1" applyFont="1" applyFill="1" applyBorder="1" applyAlignment="1">
      <x:alignment horizontal="center"/>
    </x:xf>
    <x:xf numFmtId="0" fontId="7" fillId="6" borderId="16" xfId="0" applyNumberFormat="1" applyFont="1" applyFill="1" applyBorder="1" applyAlignment="1">
      <x:alignment horizontal="center"/>
    </x:xf>
    <x:xf numFmtId="0" fontId="7" fillId="6" borderId="17" xfId="0" applyNumberFormat="1" applyFont="1" applyFill="1" applyBorder="1" applyAlignment="1">
      <x:alignment horizontal="center"/>
    </x:xf>
    <x:xf numFmtId="0" fontId="7" fillId="6" borderId="18" xfId="0" applyNumberFormat="1" applyFont="1" applyFill="1" applyBorder="1" applyAlignment="1">
      <x:alignment horizontal="center"/>
    </x:xf>
    <x:xf numFmtId="0" fontId="7" fillId="6" borderId="19" xfId="0" applyNumberFormat="1" applyFont="1" applyFill="1" applyBorder="1" applyAlignment="1">
      <x:alignment horizontal="center"/>
    </x:xf>
    <x:xf numFmtId="0" fontId="7" fillId="6" borderId="14" xfId="0" applyNumberFormat="1" applyFont="1" applyFill="1" applyBorder="1" applyAlignment="1">
      <x:alignment horizontal="center" vertical="center"/>
    </x:xf>
    <x:xf numFmtId="0" fontId="7" fillId="6" borderId="15" xfId="0" applyNumberFormat="1" applyFont="1" applyFill="1" applyBorder="1" applyAlignment="1">
      <x:alignment horizontal="center" vertical="center"/>
    </x:xf>
    <x:xf numFmtId="0" fontId="7" fillId="6" borderId="16" xfId="0" applyNumberFormat="1" applyFont="1" applyFill="1" applyBorder="1" applyAlignment="1">
      <x:alignment horizontal="center" vertical="center"/>
    </x:xf>
    <x:xf numFmtId="0" fontId="7" fillId="6" borderId="17" xfId="0" applyNumberFormat="1" applyFont="1" applyFill="1" applyBorder="1" applyAlignment="1">
      <x:alignment horizontal="center" vertical="center"/>
    </x:xf>
    <x:xf numFmtId="0" fontId="7" fillId="6" borderId="18" xfId="0" applyNumberFormat="1" applyFont="1" applyFill="1" applyBorder="1" applyAlignment="1">
      <x:alignment horizontal="center" vertical="center"/>
    </x:xf>
    <x:xf numFmtId="0" fontId="7" fillId="6" borderId="19" xfId="0" applyNumberFormat="1" applyFont="1" applyFill="1" applyBorder="1" applyAlignment="1">
      <x:alignment horizontal="center" vertical="center"/>
    </x:xf>
    <x:xf numFmtId="206" fontId="7" fillId="6" borderId="16" xfId="0" applyNumberFormat="1" applyFont="1" applyFill="1" applyBorder="1" applyAlignment="1">
      <x:alignment horizontal="center" vertical="center"/>
    </x:xf>
    <x:xf numFmtId="206" fontId="7" fillId="6" borderId="17" xfId="0" applyNumberFormat="1" applyFont="1" applyFill="1" applyBorder="1" applyAlignment="1">
      <x:alignment horizontal="center" vertical="center"/>
    </x:xf>
    <x:xf numFmtId="206" fontId="7" fillId="6" borderId="18" xfId="0" applyNumberFormat="1" applyFont="1" applyFill="1" applyBorder="1" applyAlignment="1">
      <x:alignment horizontal="center" vertical="center"/>
    </x:xf>
    <x:xf numFmtId="206" fontId="7" fillId="6" borderId="19" xfId="0" applyNumberFormat="1" applyFont="1" applyFill="1" applyBorder="1" applyAlignment="1">
      <x:alignment horizontal="center" vertical="center"/>
    </x:xf>
    <x:xf numFmtId="212" fontId="7" fillId="6" borderId="16" xfId="0" applyNumberFormat="1" applyFont="1" applyFill="1" applyBorder="1" applyAlignment="1">
      <x:alignment horizontal="center" vertical="center"/>
    </x:xf>
    <x:xf numFmtId="212" fontId="7" fillId="6" borderId="17" xfId="0" applyNumberFormat="1" applyFont="1" applyFill="1" applyBorder="1" applyAlignment="1">
      <x:alignment horizontal="center" vertical="center"/>
    </x:xf>
    <x:xf numFmtId="212" fontId="7" fillId="6" borderId="18" xfId="0" applyNumberFormat="1" applyFont="1" applyFill="1" applyBorder="1" applyAlignment="1">
      <x:alignment horizontal="center" vertical="center"/>
    </x:xf>
    <x:xf numFmtId="212" fontId="7" fillId="6" borderId="19" xfId="0" applyNumberFormat="1" applyFont="1" applyFill="1" applyBorder="1" applyAlignment="1">
      <x:alignment horizontal="center" vertical="center"/>
    </x:xf>
    <x:xf numFmtId="206" fontId="8" fillId="6" borderId="16" xfId="0" applyNumberFormat="1" applyFont="1" applyFill="1" applyBorder="1" applyAlignment="1">
      <x:alignment horizontal="center" vertical="center"/>
    </x:xf>
    <x:xf numFmtId="206" fontId="8" fillId="6" borderId="17" xfId="0" applyNumberFormat="1" applyFont="1" applyFill="1" applyBorder="1" applyAlignment="1">
      <x:alignment horizontal="center" vertical="center"/>
    </x:xf>
    <x:xf numFmtId="206" fontId="8" fillId="6" borderId="18" xfId="0" applyNumberFormat="1" applyFont="1" applyFill="1" applyBorder="1" applyAlignment="1">
      <x:alignment horizontal="center" vertical="center"/>
    </x:xf>
    <x:xf numFmtId="206" fontId="8" fillId="6" borderId="19" xfId="0" applyNumberFormat="1" applyFont="1" applyFill="1" applyBorder="1" applyAlignment="1">
      <x:alignment horizontal="center" vertical="center"/>
    </x:xf>
    <x:xf numFmtId="212" fontId="8" fillId="6" borderId="16" xfId="0" applyNumberFormat="1" applyFont="1" applyFill="1" applyBorder="1" applyAlignment="1">
      <x:alignment horizontal="center" vertical="center"/>
    </x:xf>
    <x:xf numFmtId="212" fontId="8" fillId="6" borderId="17" xfId="0" applyNumberFormat="1" applyFont="1" applyFill="1" applyBorder="1" applyAlignment="1">
      <x:alignment horizontal="center" vertical="center"/>
    </x:xf>
    <x:xf numFmtId="212" fontId="8" fillId="6" borderId="18" xfId="0" applyNumberFormat="1" applyFont="1" applyFill="1" applyBorder="1" applyAlignment="1">
      <x:alignment horizontal="center" vertical="center"/>
    </x:xf>
    <x:xf numFmtId="212" fontId="8" fillId="6" borderId="19" xfId="0" applyNumberFormat="1" applyFont="1" applyFill="1" applyBorder="1" applyAlignment="1">
      <x:alignment horizontal="center" vertical="center"/>
    </x:xf>
    <x:xf numFmtId="210" fontId="6" fillId="0" borderId="0" xfId="0" applyNumberFormat="1" applyFont="1" applyFill="1" applyBorder="1"/>
    <x:xf numFmtId="204" fontId="6" fillId="0" borderId="0" xfId="0" applyNumberFormat="1" applyFont="1" applyFill="1" applyBorder="1"/>
    <x:xf numFmtId="208" fontId="6" fillId="0" borderId="0" xfId="0" applyNumberFormat="1" applyFont="1" applyFill="1" applyBorder="1"/>
    <x:xf numFmtId="0" fontId="0" fillId="5" borderId="14" xfId="0" applyNumberFormat="1" applyFont="1" applyFill="1" applyBorder="1"/>
    <x:xf numFmtId="0" fontId="0" fillId="5" borderId="20" xfId="0" applyNumberFormat="1" applyFont="1" applyFill="1" applyBorder="1"/>
    <x:xf numFmtId="0" fontId="0" fillId="5" borderId="15" xfId="0" applyNumberFormat="1" applyFont="1" applyFill="1" applyBorder="1"/>
    <x:xf numFmtId="0" fontId="0" fillId="5" borderId="16" xfId="0" applyNumberFormat="1" applyFont="1" applyFill="1" applyBorder="1"/>
    <x:xf numFmtId="0" fontId="0" fillId="5" borderId="17" xfId="0" applyNumberFormat="1" applyFont="1" applyFill="1" applyBorder="1"/>
    <x:xf numFmtId="0" fontId="0" fillId="5" borderId="18" xfId="0" applyNumberFormat="1" applyFont="1" applyFill="1" applyBorder="1"/>
    <x:xf numFmtId="0" fontId="0" fillId="5" borderId="21" xfId="0" applyNumberFormat="1" applyFont="1" applyFill="1" applyBorder="1"/>
    <x:xf numFmtId="0" fontId="0" fillId="5" borderId="19" xfId="0" applyNumberFormat="1" applyFont="1" applyFill="1" applyBorder="1"/>
    <x:xf numFmtId="0" fontId="0" fillId="5" borderId="14" xfId="0" applyNumberFormat="1" applyFont="1" applyFill="1" applyBorder="1" applyAlignment="1">
      <x:alignment wrapText="1"/>
    </x:xf>
    <x:xf numFmtId="0" fontId="0" fillId="5" borderId="20" xfId="0" applyNumberFormat="1" applyFont="1" applyFill="1" applyBorder="1" applyAlignment="1">
      <x:alignment wrapText="1"/>
    </x:xf>
    <x:xf numFmtId="0" fontId="0" fillId="5" borderId="15" xfId="0" applyNumberFormat="1" applyFont="1" applyFill="1" applyBorder="1" applyAlignment="1">
      <x:alignment wrapText="1"/>
    </x:xf>
    <x:xf numFmtId="0" fontId="0" fillId="5" borderId="16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wrapText="1"/>
    </x:xf>
    <x:xf numFmtId="0" fontId="0" fillId="5" borderId="17" xfId="0" applyNumberFormat="1" applyFont="1" applyFill="1" applyBorder="1" applyAlignment="1">
      <x:alignment wrapText="1"/>
    </x:xf>
    <x:xf numFmtId="0" fontId="0" fillId="5" borderId="18" xfId="0" applyNumberFormat="1" applyFont="1" applyFill="1" applyBorder="1" applyAlignment="1">
      <x:alignment wrapText="1"/>
    </x:xf>
    <x:xf numFmtId="0" fontId="0" fillId="5" borderId="21" xfId="0" applyNumberFormat="1" applyFont="1" applyFill="1" applyBorder="1" applyAlignment="1">
      <x:alignment wrapText="1"/>
    </x:xf>
    <x:xf numFmtId="0" fontId="0" fillId="5" borderId="19" xfId="0" applyNumberFormat="1" applyFont="1" applyFill="1" applyBorder="1" applyAlignment="1">
      <x:alignment wrapText="1"/>
    </x:xf>
    <x:xf numFmtId="0" fontId="0" fillId="5" borderId="14" xfId="0" applyNumberFormat="1" applyFont="1" applyFill="1" applyBorder="1" applyAlignment="1">
      <x:alignment vertical="center" wrapText="1"/>
    </x:xf>
    <x:xf numFmtId="0" fontId="0" fillId="5" borderId="20" xfId="0" applyNumberFormat="1" applyFont="1" applyFill="1" applyBorder="1" applyAlignment="1">
      <x:alignment vertical="center" wrapText="1"/>
    </x:xf>
    <x:xf numFmtId="0" fontId="0" fillId="5" borderId="15" xfId="0" applyNumberFormat="1" applyFont="1" applyFill="1" applyBorder="1" applyAlignment="1">
      <x:alignment vertical="center" wrapText="1"/>
    </x:xf>
    <x:xf numFmtId="0" fontId="0" fillId="5" borderId="16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 applyAlignment="1">
      <x:alignment vertical="center" wrapText="1"/>
    </x:xf>
    <x:xf numFmtId="0" fontId="0" fillId="5" borderId="17" xfId="0" applyNumberFormat="1" applyFont="1" applyFill="1" applyBorder="1" applyAlignment="1">
      <x:alignment vertical="center" wrapText="1"/>
    </x:xf>
    <x:xf numFmtId="0" fontId="0" fillId="5" borderId="18" xfId="0" applyNumberFormat="1" applyFont="1" applyFill="1" applyBorder="1" applyAlignment="1">
      <x:alignment vertical="center" wrapText="1"/>
    </x:xf>
    <x:xf numFmtId="0" fontId="0" fillId="5" borderId="21" xfId="0" applyNumberFormat="1" applyFont="1" applyFill="1" applyBorder="1" applyAlignment="1">
      <x:alignment vertical="center" wrapText="1"/>
    </x:xf>
    <x:xf numFmtId="0" fontId="0" fillId="5" borderId="19" xfId="0" applyNumberFormat="1" applyFont="1" applyFill="1" applyBorder="1" applyAlignment="1">
      <x:alignment vertical="center" wrapText="1"/>
    </x:xf>
    <x:xf numFmtId="0" fontId="7" fillId="7" borderId="22" xfId="0" applyNumberFormat="1" applyFont="1" applyFill="1" applyBorder="1"/>
    <x:xf numFmtId="0" fontId="7" fillId="7" borderId="23" xfId="0" applyNumberFormat="1" applyFont="1" applyFill="1" applyBorder="1"/>
    <x:xf numFmtId="0" fontId="7" fillId="7" borderId="24" xfId="0" applyNumberFormat="1" applyFont="1" applyFill="1" applyBorder="1"/>
    <x:xf numFmtId="0" fontId="7" fillId="7" borderId="25" xfId="0" applyNumberFormat="1" applyFont="1" applyFill="1" applyBorder="1"/>
    <x:xf numFmtId="0" fontId="7" fillId="7" borderId="26" xfId="0" applyNumberFormat="1" applyFont="1" applyFill="1" applyBorder="1"/>
    <x:xf numFmtId="0" fontId="7" fillId="7" borderId="27" xfId="0" applyNumberFormat="1" applyFont="1" applyFill="1" applyBorder="1"/>
    <x:xf numFmtId="0" fontId="7" fillId="7" borderId="28" xfId="0" applyNumberFormat="1" applyFont="1" applyFill="1" applyBorder="1"/>
    <x:xf numFmtId="0" fontId="7" fillId="7" borderId="29" xfId="0" applyNumberFormat="1" applyFont="1" applyFill="1" applyBorder="1"/>
    <x:xf numFmtId="0" fontId="7" fillId="7" borderId="22" xfId="0" applyNumberFormat="1" applyFont="1" applyFill="1" applyBorder="1" applyAlignment="1">
      <x:alignment wrapText="1"/>
    </x:xf>
    <x:xf numFmtId="0" fontId="7" fillId="7" borderId="23" xfId="0" applyNumberFormat="1" applyFont="1" applyFill="1" applyBorder="1" applyAlignment="1">
      <x:alignment wrapText="1"/>
    </x:xf>
    <x:xf numFmtId="0" fontId="7" fillId="7" borderId="24" xfId="0" applyNumberFormat="1" applyFont="1" applyFill="1" applyBorder="1" applyAlignment="1">
      <x:alignment wrapText="1"/>
    </x:xf>
    <x:xf numFmtId="0" fontId="7" fillId="7" borderId="25" xfId="0" applyNumberFormat="1" applyFont="1" applyFill="1" applyBorder="1" applyAlignment="1">
      <x:alignment wrapText="1"/>
    </x:xf>
    <x:xf numFmtId="0" fontId="7" fillId="7" borderId="0" xfId="0" applyNumberFormat="1" applyFont="1" applyFill="1" applyBorder="1" applyAlignment="1">
      <x:alignment wrapText="1"/>
    </x:xf>
    <x:xf numFmtId="0" fontId="7" fillId="7" borderId="26" xfId="0" applyNumberFormat="1" applyFont="1" applyFill="1" applyBorder="1" applyAlignment="1">
      <x:alignment wrapText="1"/>
    </x:xf>
    <x:xf numFmtId="0" fontId="7" fillId="7" borderId="27" xfId="0" applyNumberFormat="1" applyFont="1" applyFill="1" applyBorder="1" applyAlignment="1">
      <x:alignment wrapText="1"/>
    </x:xf>
    <x:xf numFmtId="0" fontId="7" fillId="7" borderId="28" xfId="0" applyNumberFormat="1" applyFont="1" applyFill="1" applyBorder="1" applyAlignment="1">
      <x:alignment wrapText="1"/>
    </x:xf>
    <x:xf numFmtId="0" fontId="7" fillId="7" borderId="29" xfId="0" applyNumberFormat="1" applyFont="1" applyFill="1" applyBorder="1" applyAlignment="1">
      <x:alignment wrapText="1"/>
    </x:xf>
    <x:xf numFmtId="0" fontId="7" fillId="7" borderId="22" xfId="0" applyNumberFormat="1" applyFont="1" applyFill="1" applyBorder="1" applyAlignment="1">
      <x:alignment vertical="center" wrapText="1"/>
    </x:xf>
    <x:xf numFmtId="0" fontId="7" fillId="7" borderId="23" xfId="0" applyNumberFormat="1" applyFont="1" applyFill="1" applyBorder="1" applyAlignment="1">
      <x:alignment vertical="center" wrapText="1"/>
    </x:xf>
    <x:xf numFmtId="0" fontId="7" fillId="7" borderId="24" xfId="0" applyNumberFormat="1" applyFont="1" applyFill="1" applyBorder="1" applyAlignment="1">
      <x:alignment vertical="center" wrapText="1"/>
    </x:xf>
    <x:xf numFmtId="0" fontId="7" fillId="7" borderId="25" xfId="0" applyNumberFormat="1" applyFont="1" applyFill="1" applyBorder="1" applyAlignment="1">
      <x:alignment vertical="center" wrapText="1"/>
    </x:xf>
    <x:xf numFmtId="0" fontId="7" fillId="7" borderId="0" xfId="0" applyNumberFormat="1" applyFont="1" applyFill="1" applyBorder="1" applyAlignment="1">
      <x:alignment vertical="center" wrapText="1"/>
    </x:xf>
    <x:xf numFmtId="0" fontId="7" fillId="7" borderId="26" xfId="0" applyNumberFormat="1" applyFont="1" applyFill="1" applyBorder="1" applyAlignment="1">
      <x:alignment vertical="center" wrapText="1"/>
    </x:xf>
    <x:xf numFmtId="0" fontId="7" fillId="7" borderId="27" xfId="0" applyNumberFormat="1" applyFont="1" applyFill="1" applyBorder="1" applyAlignment="1">
      <x:alignment vertical="center" wrapText="1"/>
    </x:xf>
    <x:xf numFmtId="0" fontId="7" fillId="7" borderId="28" xfId="0" applyNumberFormat="1" applyFont="1" applyFill="1" applyBorder="1" applyAlignment="1">
      <x:alignment vertical="center" wrapText="1"/>
    </x:xf>
    <x:xf numFmtId="0" fontId="7" fillId="7" borderId="29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 applyAlignment="1">
      <x:alignment vertical="center" wrapText="1"/>
    </x:xf>
    <x:xf numFmtId="0" fontId="9" fillId="2" borderId="0" xfId="0" applyNumberFormat="1" applyFont="1" applyFill="1" applyBorder="1" applyAlignment="1">
      <x:alignment vertical="center"/>
    </x:xf>
    <x:xf numFmtId="205" fontId="9" fillId="2" borderId="0" xfId="0" applyNumberFormat="1" applyFont="1" applyFill="1" applyBorder="1" applyAlignment="1">
      <x:alignment vertical="center"/>
    </x:xf>
    <x:xf numFmtId="206" fontId="9" fillId="2" borderId="0" xfId="0" applyNumberFormat="1" applyFont="1" applyFill="1" applyBorder="1" applyAlignment="1">
      <x:alignment vertical="center"/>
    </x:xf>
    <x:xf numFmtId="204" fontId="9" fillId="2" borderId="0" xfId="0" applyNumberFormat="1" applyFont="1" applyFill="1" applyBorder="1" applyAlignment="1">
      <x:alignment vertical="center"/>
    </x:xf>
    <x:xf numFmtId="207" fontId="9" fillId="2" borderId="0" xfId="0" applyNumberFormat="1" applyFont="1" applyFill="1" applyBorder="1" applyAlignment="1">
      <x:alignment vertical="center"/>
    </x:xf>
    <x:xf numFmtId="208" fontId="9" fillId="2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4"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06c6abcfe4144f2" /><Relationship Type="http://schemas.openxmlformats.org/officeDocument/2006/relationships/theme" Target="/xl/theme/theme1.xml" Id="R7424d15ca95e4deb" /><Relationship Type="http://schemas.openxmlformats.org/officeDocument/2006/relationships/sharedStrings" Target="/xl/sharedStrings.xml" Id="R212ad7eb2c2c4cb8" /><Relationship Type="http://schemas.openxmlformats.org/officeDocument/2006/relationships/worksheet" Target="/xl/worksheets/sheet1.xml" Id="R27c3e0f2efed4624" /><Relationship Type="http://schemas.openxmlformats.org/officeDocument/2006/relationships/worksheet" Target="/xl/worksheets/sheet2.xml" Id="R93191765bf414646" /><Relationship Type="http://schemas.openxmlformats.org/officeDocument/2006/relationships/worksheet" Target="/xl/worksheets/sheet3.xml" Id="Re0e1422461134a06" /><Relationship Type="http://schemas.openxmlformats.org/officeDocument/2006/relationships/worksheet" Target="/xl/worksheets/sheet4.xml" Id="Rf15da67de8f74438" /><Relationship Type="http://schemas.openxmlformats.org/officeDocument/2006/relationships/worksheet" Target="/xl/worksheets/sheet5.xml" Id="Re7a515a6ddbd4f1b" /><Relationship Type="http://schemas.openxmlformats.org/officeDocument/2006/relationships/worksheet" Target="/xl/worksheets/sheet6.xml" Id="R6e09466eb2534249" /><Relationship Type="http://schemas.openxmlformats.org/officeDocument/2006/relationships/worksheet" Target="/xl/worksheets/sheet7.xml" Id="R2af980503ee04470" /><Relationship Type="http://schemas.openxmlformats.org/officeDocument/2006/relationships/worksheet" Target="/xl/worksheets/sheet8.xml" Id="Rdc859e88461d4378" /><Relationship Type="http://schemas.microsoft.com/office/2017/10/relationships/person" Target="/xl/persons/person.xml" Id="R5d48b035b0f64bb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14246140698b4dbb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Bêtas des comparables — levered vs unlevered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Bêta levered</c:v>
          </c:tx>
          <c:cat>
            <c:strRef>
              <c:f>'Synthese'!$A$11:$A$14</c:f>
              <c:strCache>
                <c:ptCount val="0"/>
              </c:strCache>
            </c:strRef>
          </c:cat>
          <c:val>
            <c:numRef>
              <c:f>'Synthese'!$B$11:$B$14</c:f>
              <c:numCache>
                <c:formatCode>0.00x;[Red](0.00x);-</c:formatCode>
                <c:ptCount val="0"/>
              </c:numCache>
            </c:numRef>
          </c:val>
        </c:ser>
        <c:ser>
          <c:idx val="1"/>
          <c:order val="1"/>
          <c:tx>
            <c:v>Bêta unlevered</c:v>
          </c:tx>
          <c:cat>
            <c:strRef>
              <c:f>'Synthese'!$A$11:$A$14</c:f>
              <c:strCache>
                <c:ptCount val="0"/>
              </c:strCache>
            </c:strRef>
          </c:cat>
          <c:val>
            <c:numRef>
              <c:f>'Synthese'!$C$11:$C$14</c:f>
              <c:numCache>
                <c:formatCode>0.00x;[Red](0.00x);-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0x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9</xdr:row>
      <xdr:rowOff>0</xdr:rowOff>
    </xdr:from>
    <xdr:to>
      <xdr:col>12</xdr:col>
      <xdr:colOff>0</xdr:colOff>
      <xdr:row>23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4246140698b4dbb"/>
        </a:graphicData>
      </a:graphic>
    </xdr:graphicFrame>
    <xdr:clientData/>
  </xdr:twoCellAnchor>
</xdr:wsDr>
</file>

<file path=xl/persons/person.xml><?xml version="1.0" encoding="utf-8"?>
<xltc:personList xmlns:xltc="http://schemas.microsoft.com/office/spreadsheetml/2018/threadedcomments">
  <xltc:person displayName="User" id="{2B5BECD2-0F51-4C40-9C4B-63B526BD2D23}"/>
</xltc:personList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C6" dT="2026-07-15T20:15:01.829" personId="{2B5BECD2-0F51-4C40-9C4B-63B526BD2D23}" id="{DB23A515-4059-D584-1ECC-0BB2ADEE4493}">
    <xltc:text>Source: Yahoo Finance chart API | As-of: 2026-07-15 | Closing price used for market capitalization.</xltc:text>
  </xltc:threadedComment>
  <xltc:threadedComment ref="D6" dT="2026-07-15T20:15:01.83" personId="{2B5BECD2-0F51-4C40-9C4B-63B526BD2D23}" id="{BA612711-F12C-3443-9C59-FB8B960202FF}">
    <xltc:text>Source: SEC company facts / latest 10-Q | As-of: 2026-04-30 | Accession: 0001628280-26-032255.</xltc:text>
  </xltc:threadedComment>
  <xltc:threadedComment ref="F6" dT="2026-07-15T20:15:01.83" personId="{2B5BECD2-0F51-4C40-9C4B-63B526BD2D23}" id="{41EC8362-2263-3C84-907D-E79182C00605}">
    <xltc:text>Source: SEC company facts / latest 10-Q | As-of: 2026-03-31 | Convertible debt + finance leases.</xltc:text>
  </xltc:threadedComment>
  <xltc:threadedComment ref="H6" dT="2026-07-15T20:15:01.83" personId="{2B5BECD2-0F51-4C40-9C4B-63B526BD2D23}" id="{EBF64736-E936-A8A4-12FD-6F8509D017DA}">
    <xltc:text>Assumption: normalized 25% tax rate used consistently for US peers in the Hamada unlevering formula.</xltc:text>
  </xltc:threadedComment>
  <xltc:threadedComment ref="C7" dT="2026-07-15T20:15:01.832" personId="{2B5BECD2-0F51-4C40-9C4B-63B526BD2D23}" id="{34631338-21B6-F42F-B73B-FE484D023F85}">
    <xltc:text>Source: Yahoo Finance chart API | As-of: 2026-07-15 | Closing price used for market capitalization.</xltc:text>
  </xltc:threadedComment>
  <xltc:threadedComment ref="D7" dT="2026-07-15T20:15:01.832" personId="{2B5BECD2-0F51-4C40-9C4B-63B526BD2D23}" id="{FC44208C-84F2-9EFE-D777-7F73F53588FA}">
    <xltc:text>Source: SEC company facts / latest 10-Q | As-of: 2026-04-30 | Accession: 0001628280-26-032387.</xltc:text>
  </xltc:threadedComment>
  <xltc:threadedComment ref="F7" dT="2026-07-15T20:15:01.832" personId="{2B5BECD2-0F51-4C40-9C4B-63B526BD2D23}" id="{2E54AC26-E517-7200-F632-D009546B9652}">
    <xltc:text>Source: SEC company facts / latest 10-Q | As-of: 2026-03-31 | Long-term debt carrying amount (includes convertible debt).</xltc:text>
  </xltc:threadedComment>
  <xltc:threadedComment ref="H7" dT="2026-07-15T20:15:01.832" personId="{2B5BECD2-0F51-4C40-9C4B-63B526BD2D23}" id="{713E6BD4-0F77-6248-358F-D24CEAFBED2C}">
    <xltc:text>Assumption: normalized 25% tax rate used consistently for US peers in the Hamada unlevering formula.</xltc:text>
  </xltc:threadedComment>
  <xltc:threadedComment ref="C8" dT="2026-07-15T20:15:01.833" personId="{2B5BECD2-0F51-4C40-9C4B-63B526BD2D23}" id="{C4A51329-827B-2DDA-60A0-739F8E05D5CF}">
    <xltc:text>Source: Yahoo Finance chart API | As-of: 2026-07-15 | Closing price used for market capitalization.</xltc:text>
  </xltc:threadedComment>
  <xltc:threadedComment ref="D8" dT="2026-07-15T20:15:01.833" personId="{2B5BECD2-0F51-4C40-9C4B-63B526BD2D23}" id="{ECAAD8CE-56D0-0264-3DED-B01014123B5F}">
    <xltc:text>Source: SEC company facts / latest 10-Q | As-of: 2026-05-22 | Accession: 0001902733-26-000066.</xltc:text>
  </xltc:threadedComment>
  <xltc:threadedComment ref="F8" dT="2026-07-15T20:15:01.833" personId="{2B5BECD2-0F51-4C40-9C4B-63B526BD2D23}" id="{3F81633A-40B6-5E5D-B246-184831E285FB}">
    <xltc:text>Source: SEC company facts / latest 10-Q | As-of: 2026-04-30 | Long-term debt + finance leases.</xltc:text>
  </xltc:threadedComment>
  <xltc:threadedComment ref="H8" dT="2026-07-15T20:15:01.833" personId="{2B5BECD2-0F51-4C40-9C4B-63B526BD2D23}" id="{3BC8F809-B504-9EB5-5FAE-BB4F23ED890F}">
    <xltc:text>Assumption: normalized 25% tax rate used consistently for US peers in the Hamada unlevering formula.</xltc:text>
  </xltc:threadedComment>
  <xltc:threadedComment ref="C9" dT="2026-07-15T20:15:01.834" personId="{2B5BECD2-0F51-4C40-9C4B-63B526BD2D23}" id="{230D8EA9-107B-2755-632B-547AE45DA231}">
    <xltc:text>Source: Yahoo Finance chart API | As-of: 2026-07-15 | Closing price used for market capitalization.</xltc:text>
  </xltc:threadedComment>
  <xltc:threadedComment ref="D9" dT="2026-07-15T20:15:01.834" personId="{2B5BECD2-0F51-4C40-9C4B-63B526BD2D23}" id="{EC106C13-0C01-9640-985C-F2E239CB6411}">
    <xltc:text>Source: SEC company facts / latest 10-Q | As-of: 2026-03-31 | Accession: 0001445305-26-000045.</xltc:text>
  </xltc:threadedComment>
  <xltc:threadedComment ref="F9" dT="2026-07-15T20:15:01.834" personId="{2B5BECD2-0F51-4C40-9C4B-63B526BD2D23}" id="{5CE80443-4158-E75F-71A5-49783735AA0A}">
    <xltc:text>Source: SEC company facts / latest 10-Q | As-of: 2026-03-31 | Convertible debt + finance leases; shares = Q1 basic weighted average.</xltc:text>
  </xltc:threadedComment>
  <xltc:threadedComment ref="H9" dT="2026-07-15T20:15:01.834" personId="{2B5BECD2-0F51-4C40-9C4B-63B526BD2D23}" id="{C151F1A7-777F-BF0C-15D5-B46B0AB944DD}">
    <xltc:text>Assumption: normalized 25% tax rate used consistently for US peers in the Hamada unlevering formula.</xltc:text>
  </xltc:threadedComment>
</xltc:ThreadedComments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8201dc675b094d5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comments" Target="/xl/comments1.xml" Id="R9a4caf0d285941c9" /><Relationship Type="http://schemas.openxmlformats.org/officeDocument/2006/relationships/vmlDrawing" Target="/xl/drawings/vmldrawing.vml" Id="Rbdce983b0e844105" /><Relationship Type="http://schemas.microsoft.com/office/2017/10/relationships/threadedComment" Target="/xl/threadedcomments/threadedcomment.xml" Id="Ra8127ad600be41f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6" hidden="0" customWidth="1"/>
    <x:col min="3" max="3" width="16" hidden="0" customWidth="1"/>
    <x:col min="4" max="4" width="16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</x:cols>
  <x:sheetData>
    <x:row r="1" ht="28" customHeight="1">
      <x:c r="A1" s="192" t="str">
        <x:v>SIDETRADE — JUSTIFICATION STATISTIQUE DU BÊTA WACC</x:v>
      </x:c>
      <x:c r="B1" s="192" t="str">
        <x:v>SIDETRADE — JUSTIFICATION STATISTIQUE DU BÊTA WACC</x:v>
      </x:c>
      <x:c r="C1" s="192" t="str">
        <x:v>SIDETRADE — JUSTIFICATION STATISTIQUE DU BÊTA WACC</x:v>
      </x:c>
      <x:c r="D1" s="192" t="str">
        <x:v>SIDETRADE — JUSTIFICATION STATISTIQUE DU BÊTA WACC</x:v>
      </x:c>
      <x:c r="E1" s="192" t="str">
        <x:v>SIDETRADE — JUSTIFICATION STATISTIQUE DU BÊTA WACC</x:v>
      </x:c>
      <x:c r="F1" s="192" t="str">
        <x:v>SIDETRADE — JUSTIFICATION STATISTIQUE DU BÊTA WACC</x:v>
      </x:c>
      <x:c r="G1" s="192" t="str">
        <x:v>SIDETRADE — JUSTIFICATION STATISTIQUE DU BÊTA WACC</x:v>
      </x:c>
      <x:c r="H1" s="192" t="str">
        <x:v>SIDETRADE — JUSTIFICATION STATISTIQUE DU BÊTA WACC</x:v>
      </x:c>
      <x:c r="I1" s="192" t="str">
        <x:v>SIDETRADE — JUSTIFICATION STATISTIQUE DU BÊTA WACC</x:v>
      </x:c>
      <x:c r="J1" s="192" t="str">
        <x:v>SIDETRADE — JUSTIFICATION STATISTIQUE DU BÊTA WACC</x:v>
      </x:c>
      <x:c r="K1" s="192" t="str">
        <x:v>SIDETRADE — JUSTIFICATION STATISTIQUE DU BÊTA WACC</x:v>
      </x:c>
      <x:c r="L1" s="192" t="str">
        <x:v>SIDETRADE — JUSTIFICATION STATISTIQUE DU BÊTA WACC</x:v>
      </x:c>
    </x:row>
    <x:row r="2">
      <x:c r="A2" s="44" t="str">
        <x:v>Deux ans de rendements hebdomadaires | 104 observations | Données arrêtées à la semaine complète du 10 juillet 2026</x:v>
      </x:c>
      <x:c r="B2" s="44"/>
      <x:c r="C2" s="44"/>
      <x:c r="D2" s="44"/>
      <x:c r="E2" s="44"/>
      <x:c r="F2" s="44"/>
      <x:c r="G2" s="44"/>
      <x:c r="H2" s="44"/>
      <x:c r="I2" s="44"/>
      <x:c r="J2" s="44"/>
      <x:c r="K2" s="44"/>
      <x:c r="L2" s="44"/>
    </x:row>
    <x:row r="4">
      <x:c r="A4" s="114" t="str">
        <x:v>Bêta statistique central</x:v>
      </x:c>
      <x:c r="B4" s="115"/>
      <x:c r="D4" s="114" t="str">
        <x:v>Bêta du modèle</x:v>
      </x:c>
      <x:c r="E4" s="115"/>
      <x:c r="G4" s="114" t="str">
        <x:v>Sensibilité Nasdaq</x:v>
      </x:c>
      <x:c r="H4" s="115"/>
      <x:c r="J4" s="114" t="str">
        <x:v>Contrôles officiels</x:v>
      </x:c>
      <x:c r="K4" s="115"/>
    </x:row>
    <x:row r="5">
      <x:c r="A5" s="128" t="n">
        <x:f>'Structure Capital'!B18</x:f>
        <x:v>1.0582815837996695</x:v>
      </x:c>
      <x:c r="B5" s="129"/>
      <x:c r="D5" s="128" t="n">
        <x:f>'Structure Capital'!B20</x:f>
        <x:v>1.15</x:v>
      </x:c>
      <x:c r="E5" s="129"/>
      <x:c r="G5" s="128" t="n">
        <x:f>'Structure Capital'!B19</x:f>
        <x:v>0.7087409141515304</x:v>
      </x:c>
      <x:c r="H5" s="129"/>
      <x:c r="J5" s="132" t="n">
        <x:f>COUNTIF('Controles'!J11:J56,"PASS")</x:f>
        <x:v>46</x:v>
      </x:c>
      <x:c r="K5" s="133"/>
    </x:row>
    <x:row r="6">
      <x:c r="A6" s="130"/>
      <x:c r="B6" s="131"/>
      <x:c r="D6" s="130"/>
      <x:c r="E6" s="131"/>
      <x:c r="G6" s="130"/>
      <x:c r="H6" s="131"/>
      <x:c r="J6" s="134"/>
      <x:c r="K6" s="135"/>
    </x:row>
    <x:row r="9" ht="22" customHeight="1">
      <x:c r="A9" s="192" t="str">
        <x:v>COMPARABLES — BÊTAS PRINCIPAUX</x:v>
      </x:c>
      <x:c r="B9" s="192" t="str">
        <x:v>COMPARABLES — BÊTAS PRINCIPAUX</x:v>
      </x:c>
      <x:c r="C9" s="192" t="str">
        <x:v>COMPARABLES — BÊTAS PRINCIPAUX</x:v>
      </x:c>
      <x:c r="D9" s="192" t="str">
        <x:v>COMPARABLES — BÊTAS PRINCIPAUX</x:v>
      </x:c>
      <x:c r="E9" s="192" t="str">
        <x:v>COMPARABLES — BÊTAS PRINCIPAUX</x:v>
      </x:c>
      <x:c r="F9" s="192" t="str">
        <x:v>COMPARABLES — BÊTAS PRINCIPAUX</x:v>
      </x:c>
      <x:c r="G9" s="192" t="str">
        <x:v>COMPARABLES — BÊTAS PRINCIPAUX</x:v>
      </x:c>
      <x:c r="H9" s="192" t="str">
        <x:v>COMPARABLES — BÊTAS PRINCIPAUX</x:v>
      </x:c>
      <x:c r="I9" s="192" t="str">
        <x:v>COMPARABLES — BÊTAS PRINCIPAUX</x:v>
      </x:c>
      <x:c r="J9" s="192" t="str">
        <x:v>COMPARABLES — BÊTAS PRINCIPAUX</x:v>
      </x:c>
      <x:c r="K9" s="192" t="str">
        <x:v>COMPARABLES — BÊTAS PRINCIPAUX</x:v>
      </x:c>
      <x:c r="L9" s="192" t="str">
        <x:v>COMPARABLES — BÊTAS PRINCIPAUX</x:v>
      </x:c>
    </x:row>
    <x:row r="10" ht="28" customHeight="1">
      <x:c r="A10" s="15" t="str">
        <x:v>Société</x:v>
      </x:c>
      <x:c r="B10" s="16" t="str">
        <x:v>Bêta levered</x:v>
      </x:c>
      <x:c r="C10" s="16" t="str">
        <x:v>Bêta unlevered</x:v>
      </x:c>
      <x:c r="D10" s="17" t="str">
        <x:v>D/E</x:v>
      </x:c>
    </x:row>
    <x:row r="11">
      <x:c r="A11" s="75" t="str">
        <x:f>'Structure Capital'!A6</x:f>
        <x:v>BlackLine</x:v>
      </x:c>
      <x:c r="B11" s="82" t="n">
        <x:f>'Structure Capital'!I6</x:f>
        <x:v>0.71971998600094</x:v>
      </x:c>
      <x:c r="C11" s="82" t="n">
        <x:f>'Structure Capital'!J6</x:f>
        <x:v>0.558159797289079</x:v>
      </x:c>
      <x:c r="D11" s="136" t="n">
        <x:f>'Structure Capital'!G6</x:f>
        <x:v>0.38593532890650345</x:v>
      </x:c>
    </x:row>
    <x:row r="12">
      <x:c r="A12" s="75" t="str">
        <x:f>'Structure Capital'!A7</x:f>
        <x:v>BILL</x:v>
      </x:c>
      <x:c r="B12" s="82" t="n">
        <x:f>'Structure Capital'!I7</x:f>
        <x:v>1.527124471493801</x:v>
      </x:c>
      <x:c r="C12" s="82" t="n">
        <x:f>'Structure Capital'!J7</x:f>
        <x:v>1.1664149415244023</x:v>
      </x:c>
      <x:c r="D12" s="136" t="n">
        <x:f>'Structure Capital'!G7</x:f>
        <x:v>0.41232842862133096</x:v>
      </x:c>
    </x:row>
    <x:row r="13">
      <x:c r="A13" s="75" t="str">
        <x:f>'Structure Capital'!A8</x:f>
        <x:v>nCino</x:v>
      </x:c>
      <x:c r="B13" s="82" t="n">
        <x:f>'Structure Capital'!I8</x:f>
        <x:v>1.5500010875974932</x:v>
      </x:c>
      <x:c r="C13" s="82" t="n">
        <x:f>'Structure Capital'!J8</x:f>
        <x:v>1.383038318545037</x:v>
      </x:c>
      <x:c r="D13" s="136" t="n">
        <x:f>'Structure Capital'!G8</x:f>
        <x:v>0.16096229758656966</x:v>
      </x:c>
    </x:row>
    <x:row r="14">
      <x:c r="A14" s="75" t="str">
        <x:f>'Structure Capital'!A9</x:f>
        <x:v>Workiva</x:v>
      </x:c>
      <x:c r="B14" s="82" t="n">
        <x:f>'Structure Capital'!I9</x:f>
        <x:v>0.7365002591919166</x:v>
      </x:c>
      <x:c r="C14" s="82" t="n">
        <x:f>'Structure Capital'!J9</x:f>
        <x:v>0.619073948619925</x:v>
      </x:c>
      <x:c r="D14" s="136" t="n">
        <x:f>'Structure Capital'!G9</x:f>
        <x:v>0.2529074506285074</x:v>
      </x:c>
    </x:row>
    <x:row r="16" ht="28" customHeight="1">
      <x:c r="A16" s="15" t="str">
        <x:v>Contrôle Sidetrade</x:v>
      </x:c>
      <x:c r="B16" s="16" t="str">
        <x:v>Bêta propre</x:v>
      </x:c>
      <x:c r="C16" s="16" t="str">
        <x:v>R²</x:v>
      </x:c>
      <x:c r="D16" s="17" t="str">
        <x:v>p-value</x:v>
      </x:c>
    </x:row>
    <x:row r="17">
      <x:c r="A17" t="str">
        <x:v>Sidetrade vs CAC 40</x:v>
      </x:c>
      <x:c r="B17" s="82" t="n">
        <x:f>'Regressions'!E6</x:f>
        <x:v>0.17668190948166138</x:v>
      </x:c>
      <x:c r="C17" s="137" t="n">
        <x:f>'Regressions'!H6</x:f>
        <x:v>0.004386062249813775</x:v>
      </x:c>
      <x:c r="D17" s="138" t="n">
        <x:f>'Regressions'!K6</x:f>
        <x:v>0.5041590569475807</x:v>
      </x:c>
    </x:row>
    <x:row r="19">
      <x:c r="A19" s="156" t="str">
        <x:v>Le bêta propre de Sidetrade n’est pas statistiquement significatif et explique moins de 1% de la variance hebdomadaire. Il est écarté du calcul central au profit de la médiane des quatre comparables désendettés, puis réendettée à la structure cible de Sidetrade.</x:v>
      </x:c>
      <x:c r="B19" s="157"/>
      <x:c r="C19" s="157"/>
      <x:c r="D19" s="158"/>
    </x:row>
    <x:row r="20">
      <x:c r="A20" s="159"/>
      <x:c r="B20" s="160"/>
      <x:c r="C20" s="160"/>
      <x:c r="D20" s="161"/>
    </x:row>
    <x:row r="21">
      <x:c r="A21" s="162"/>
      <x:c r="B21" s="163"/>
      <x:c r="C21" s="163"/>
      <x:c r="D21" s="164"/>
    </x:row>
    <x:row r="25" ht="22" customHeight="1">
      <x:c r="A25" s="192" t="str">
        <x:v>CONCLUSION POUR LE WACC</x:v>
      </x:c>
      <x:c r="B25" s="192" t="str">
        <x:v>CONCLUSION POUR LE WACC</x:v>
      </x:c>
      <x:c r="C25" s="192" t="str">
        <x:v>CONCLUSION POUR LE WACC</x:v>
      </x:c>
      <x:c r="D25" s="192" t="str">
        <x:v>CONCLUSION POUR LE WACC</x:v>
      </x:c>
      <x:c r="E25" s="192" t="str">
        <x:v>CONCLUSION POUR LE WACC</x:v>
      </x:c>
      <x:c r="F25" s="192" t="str">
        <x:v>CONCLUSION POUR LE WACC</x:v>
      </x:c>
      <x:c r="G25" s="192" t="str">
        <x:v>CONCLUSION POUR LE WACC</x:v>
      </x:c>
      <x:c r="H25" s="192" t="str">
        <x:v>CONCLUSION POUR LE WACC</x:v>
      </x:c>
      <x:c r="I25" s="192" t="str">
        <x:v>CONCLUSION POUR LE WACC</x:v>
      </x:c>
      <x:c r="J25" s="192" t="str">
        <x:v>CONCLUSION POUR LE WACC</x:v>
      </x:c>
      <x:c r="K25" s="192" t="str">
        <x:v>CONCLUSION POUR LE WACC</x:v>
      </x:c>
      <x:c r="L25" s="192" t="str">
        <x:v>CONCLUSION POUR LE WACC</x:v>
      </x:c>
    </x:row>
    <x:row r="27">
      <x:c r="A27" s="182" t="str">
        <x:f>"La régression conduit à un bêta relevered central de "&amp;TEXT('Structure Capital'!B18,"0.00x")&amp;". Le bêta 1,15x déjà retenu dans le modèle est supérieur de "&amp;TEXT('Structure Capital'!B21,"0.00x")&amp;" et augmente le coût des fonds propres d’environ "&amp;TEXT('Structure Capital'!B23,"0.00%")&amp;" : son maintien est donc défendable comme choix prudent."</x:f>
        <x:v>La régression conduit à un bêta relevered central de 1.06x. Le bêta 1,15x déjà retenu dans le modèle est supérieur de 0.09x et augmente le coût des fonds propres d’environ 0.50% : son maintien est donc défendable comme choix prudent.</x:v>
      </x:c>
      <x:c r="B27" s="183"/>
      <x:c r="C27" s="183"/>
      <x:c r="D27" s="183"/>
      <x:c r="E27" s="183"/>
      <x:c r="F27" s="183"/>
      <x:c r="G27" s="183"/>
      <x:c r="H27" s="183"/>
      <x:c r="I27" s="183"/>
      <x:c r="J27" s="183"/>
      <x:c r="K27" s="183"/>
      <x:c r="L27" s="184"/>
    </x:row>
    <x:row r="28">
      <x:c r="A28" s="185"/>
      <x:c r="B28" s="186"/>
      <x:c r="C28" s="186"/>
      <x:c r="D28" s="186"/>
      <x:c r="E28" s="186"/>
      <x:c r="F28" s="186"/>
      <x:c r="G28" s="186"/>
      <x:c r="H28" s="186"/>
      <x:c r="I28" s="186"/>
      <x:c r="J28" s="186"/>
      <x:c r="K28" s="186"/>
      <x:c r="L28" s="187"/>
    </x:row>
    <x:row r="29">
      <x:c r="A29" s="188"/>
      <x:c r="B29" s="189"/>
      <x:c r="C29" s="189"/>
      <x:c r="D29" s="189"/>
      <x:c r="E29" s="189"/>
      <x:c r="F29" s="189"/>
      <x:c r="G29" s="189"/>
      <x:c r="H29" s="189"/>
      <x:c r="I29" s="189"/>
      <x:c r="J29" s="189"/>
      <x:c r="K29" s="189"/>
      <x:c r="L29" s="190"/>
    </x:row>
    <x:row r="31">
      <x:c r="A31" s="191" t="str">
        <x:v>Méthode : clôtures quotidiennes ajustées Yahoo → dernière séance de chaque semaine → rendements logarithmiques → OLS → désendettement Hamada sur dette brute / capitalisation → médiane des peers → réendettement avec D/(D+E)=20% et IS 25,83%. Contrôles croisés Euronext et Nasdaq : 46/46 réussis.</x:v>
      </x:c>
      <x:c r="B31" s="191"/>
      <x:c r="C31" s="191"/>
      <x:c r="D31" s="191"/>
      <x:c r="E31" s="191"/>
      <x:c r="F31" s="191"/>
      <x:c r="G31" s="191"/>
      <x:c r="H31" s="191"/>
      <x:c r="I31" s="191"/>
      <x:c r="J31" s="191"/>
      <x:c r="K31" s="191"/>
      <x:c r="L31" s="191"/>
    </x:row>
    <x:row r="32">
      <x:c r="A32" s="191"/>
      <x:c r="B32" s="191"/>
      <x:c r="C32" s="191"/>
      <x:c r="D32" s="191"/>
      <x:c r="E32" s="191"/>
      <x:c r="F32" s="191"/>
      <x:c r="G32" s="191"/>
      <x:c r="H32" s="191"/>
      <x:c r="I32" s="191"/>
      <x:c r="J32" s="191"/>
      <x:c r="K32" s="191"/>
      <x:c r="L32" s="191"/>
    </x:row>
    <x:row r="33">
      <x:c r="A33" s="191"/>
      <x:c r="B33" s="191"/>
      <x:c r="C33" s="191"/>
      <x:c r="D33" s="191"/>
      <x:c r="E33" s="191"/>
      <x:c r="F33" s="191"/>
      <x:c r="G33" s="191"/>
      <x:c r="H33" s="191"/>
      <x:c r="I33" s="191"/>
      <x:c r="J33" s="191"/>
      <x:c r="K33" s="191"/>
      <x:c r="L33" s="191"/>
    </x:row>
    <x:row r="34">
      <x:c r="A34" s="191"/>
      <x:c r="B34" s="191"/>
      <x:c r="C34" s="191"/>
      <x:c r="D34" s="191"/>
      <x:c r="E34" s="191"/>
      <x:c r="F34" s="191"/>
      <x:c r="G34" s="191"/>
      <x:c r="H34" s="191"/>
      <x:c r="I34" s="191"/>
      <x:c r="J34" s="191"/>
      <x:c r="K34" s="191"/>
      <x:c r="L34" s="191"/>
    </x:row>
  </x:sheetData>
  <x:mergeCells>
    <x:mergeCell ref="A1:L1"/>
    <x:mergeCell ref="A2:L2"/>
    <x:mergeCell ref="A4:B4"/>
    <x:mergeCell ref="A5:B6"/>
    <x:mergeCell ref="D4:E4"/>
    <x:mergeCell ref="D5:E6"/>
    <x:mergeCell ref="G4:H4"/>
    <x:mergeCell ref="G5:H6"/>
    <x:mergeCell ref="J4:K4"/>
    <x:mergeCell ref="J5:K6"/>
    <x:mergeCell ref="A9:L9"/>
    <x:mergeCell ref="A19:D21"/>
    <x:mergeCell ref="A25:L25"/>
    <x:mergeCell ref="A27:L29"/>
    <x:mergeCell ref="A31:L34"/>
  </x:mergeCells>
  <x:pageMargins left="0.7" right="0.7" top="0.75" bottom="0.75" header="0.3" footer="0.3"/>
  <x:drawing xmlns:r="http://schemas.openxmlformats.org/officeDocument/2006/relationships" r:id="R8201dc675b094d51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24" hidden="0" customWidth="1"/>
    <x:col min="3" max="3" width="22" hidden="0" customWidth="1"/>
    <x:col min="4" max="4" width="32" hidden="0" customWidth="1"/>
    <x:col min="5" max="5" width="16" hidden="0" customWidth="1"/>
    <x:col min="6" max="6" width="46" hidden="0" customWidth="1"/>
  </x:cols>
  <x:sheetData>
    <x:row r="1" ht="28" customHeight="1">
      <x:c r="A1" s="192" t="str">
        <x:v>SIDETRADE — HYPOTHÈSES DE L’ANALYSE BÊTA</x:v>
      </x:c>
      <x:c r="B1" s="192" t="str">
        <x:v>SIDETRADE — HYPOTHÈSES DE L’ANALYSE BÊTA</x:v>
      </x:c>
      <x:c r="C1" s="192" t="str">
        <x:v>SIDETRADE — HYPOTHÈSES DE L’ANALYSE BÊTA</x:v>
      </x:c>
      <x:c r="D1" s="192" t="str">
        <x:v>SIDETRADE — HYPOTHÈSES DE L’ANALYSE BÊTA</x:v>
      </x:c>
      <x:c r="E1" s="192" t="str">
        <x:v>SIDETRADE — HYPOTHÈSES DE L’ANALYSE BÊTA</x:v>
      </x:c>
      <x:c r="F1" s="192" t="str">
        <x:v>SIDETRADE — HYPOTHÈSES DE L’ANALYSE BÊTA</x:v>
      </x:c>
    </x:row>
    <x:row r="2">
      <x:c r="A2" s="6" t="str">
        <x:v>Fenêtre de deux ans, fréquence hebdomadaire, clôtures ajustées — version au 15 juillet 2026</x:v>
      </x:c>
      <x:c r="B2" s="6"/>
      <x:c r="C2" s="6"/>
      <x:c r="D2" s="6"/>
      <x:c r="E2" s="6"/>
      <x:c r="F2" s="6"/>
    </x:row>
    <x:row r="4" ht="28" customHeight="1">
      <x:c r="A4" s="15" t="str">
        <x:v>Paramètre</x:v>
      </x:c>
      <x:c r="B4" s="16" t="str">
        <x:v>Valeur</x:v>
      </x:c>
      <x:c r="C4" s="16" t="str">
        <x:v>Unité</x:v>
      </x:c>
      <x:c r="D4" s="16" t="str">
        <x:v>Source / logique</x:v>
      </x:c>
      <x:c r="E4" s="16" t="str">
        <x:v>Statut</x:v>
      </x:c>
      <x:c r="F4" s="17" t="str">
        <x:v>Notes</x:v>
      </x:c>
    </x:row>
    <x:row r="5">
      <x:c r="A5" s="19" t="str">
        <x:v>Date d'analyse</x:v>
      </x:c>
      <x:c r="B5" s="20" t="n">
        <x:v>46218</x:v>
      </x:c>
      <x:c r="C5" s="21" t="str">
        <x:v>date</x:v>
      </x:c>
      <x:c r="D5" s="30" t="str">
        <x:v>Date de récupération</x:v>
      </x:c>
      <x:c r="E5" s="30" t="str">
        <x:v>Fixe</x:v>
      </x:c>
      <x:c r="F5" s="31" t="str">
        <x:v>Les régressions s'arrêtent à la dernière semaine complète</x:v>
      </x:c>
    </x:row>
    <x:row r="6">
      <x:c r="A6" s="23" t="str">
        <x:v>Première clôture hebdomadaire</x:v>
      </x:c>
      <x:c r="B6" s="24" t="n">
        <x:v>45485</x:v>
      </x:c>
      <x:c r="C6" s="25" t="str">
        <x:v>date</x:v>
      </x:c>
      <x:c r="D6" s="32" t="str">
        <x:v>Dernière séance disponible de la semaine</x:v>
      </x:c>
      <x:c r="E6" s="32" t="str">
        <x:v>Fixe</x:v>
      </x:c>
      <x:c r="F6" s="33" t="str">
        <x:v>Point de départ nécessaire pour calculer 104 rendements</x:v>
      </x:c>
    </x:row>
    <x:row r="7">
      <x:c r="A7" s="23" t="str">
        <x:v>Dernière clôture hebdomadaire</x:v>
      </x:c>
      <x:c r="B7" s="24" t="n">
        <x:v>46213</x:v>
      </x:c>
      <x:c r="C7" s="25" t="str">
        <x:v>date</x:v>
      </x:c>
      <x:c r="D7" s="32" t="str">
        <x:v>Dernière semaine complète</x:v>
      </x:c>
      <x:c r="E7" s="32" t="str">
        <x:v>Fixe</x:v>
      </x:c>
      <x:c r="F7" s="33" t="str">
        <x:v>La semaine au 15/07 est volontairement exclue car incomplète</x:v>
      </x:c>
    </x:row>
    <x:row r="8">
      <x:c r="A8" s="23" t="str">
        <x:v>Nombre de rendements</x:v>
      </x:c>
      <x:c r="B8" s="25" t="n">
        <x:v>104</x:v>
      </x:c>
      <x:c r="C8" s="25" t="str">
        <x:v>semaines</x:v>
      </x:c>
      <x:c r="D8" s="32" t="str">
        <x:v>105 prix hebdomadaires moins 1</x:v>
      </x:c>
      <x:c r="E8" s="32" t="str">
        <x:v>Contrôlé</x:v>
      </x:c>
      <x:c r="F8" s="33" t="str">
        <x:v>Environ deux ans</x:v>
      </x:c>
    </x:row>
    <x:row r="9">
      <x:c r="A9" s="23" t="str">
        <x:v>Type de rendement</x:v>
      </x:c>
      <x:c r="B9" s="25" t="str">
        <x:v>Logarithmique</x:v>
      </x:c>
      <x:c r="C9" s="25" t="str">
        <x:v>ln(Pt/Pt-1)</x:v>
      </x:c>
      <x:c r="D9" s="32" t="str">
        <x:v>Convention de régression</x:v>
      </x:c>
      <x:c r="E9" s="32" t="str">
        <x:v>Fixe</x:v>
      </x:c>
      <x:c r="F9" s="33" t="str">
        <x:v>Les prix sont ajustés des distributions et splits par la source</x:v>
      </x:c>
    </x:row>
    <x:row r="10">
      <x:c r="A10" s="23" t="str">
        <x:v>Source homogène</x:v>
      </x:c>
      <x:c r="B10" s="25" t="str">
        <x:v>Yahoo Finance</x:v>
      </x:c>
      <x:c r="C10" s="25" t="str">
        <x:v>Adjusted Close</x:v>
      </x:c>
      <x:c r="D10" s="32" t="str">
        <x:v>API chart compatible yfinance</x:v>
      </x:c>
      <x:c r="E10" s="32" t="str">
        <x:v>Contrôlé</x:v>
      </x:c>
      <x:c r="F10" s="33" t="str">
        <x:v>Extraction quotidienne puis resampling vendredi</x:v>
      </x:c>
    </x:row>
    <x:row r="11">
      <x:c r="A11" s="23" t="str">
        <x:v>Indice principal — Sidetrade</x:v>
      </x:c>
      <x:c r="B11" s="25" t="str">
        <x:v>CAC 40</x:v>
      </x:c>
      <x:c r="C11" s="25" t="str">
        <x:v>^FCHI</x:v>
      </x:c>
      <x:c r="D11" s="32" t="str">
        <x:v>Indice large France</x:v>
      </x:c>
      <x:c r="E11" s="32" t="str">
        <x:v>Principal</x:v>
      </x:c>
      <x:c r="F11" s="33" t="str">
        <x:v>Le titre Sidetrade est coté à Paris</x:v>
      </x:c>
    </x:row>
    <x:row r="12">
      <x:c r="A12" s="23" t="str">
        <x:v>Indice alternatif — Sidetrade</x:v>
      </x:c>
      <x:c r="B12" s="25" t="str">
        <x:v>STOXX Europe 600</x:v>
      </x:c>
      <x:c r="C12" s="25" t="str">
        <x:v>^STOXX</x:v>
      </x:c>
      <x:c r="D12" s="32" t="str">
        <x:v>Sensibilité Europe</x:v>
      </x:c>
      <x:c r="E12" s="32" t="str">
        <x:v>Sensibilité</x:v>
      </x:c>
      <x:c r="F12" s="33" t="str">
        <x:v>Contrôle de robustesse</x:v>
      </x:c>
    </x:row>
    <x:row r="13">
      <x:c r="A13" s="23" t="str">
        <x:v>Indice principal — peers US</x:v>
      </x:c>
      <x:c r="B13" s="25" t="str">
        <x:v>S&amp;P 500</x:v>
      </x:c>
      <x:c r="C13" s="25" t="str">
        <x:v>^GSPC</x:v>
      </x:c>
      <x:c r="D13" s="32" t="str">
        <x:v>Marché actions US large</x:v>
      </x:c>
      <x:c r="E13" s="32" t="str">
        <x:v>Principal</x:v>
      </x:c>
      <x:c r="F13" s="33" t="str">
        <x:v>Préféré au Nasdaq pour éviter un biais sectoriel</x:v>
      </x:c>
    </x:row>
    <x:row r="14">
      <x:c r="A14" s="23" t="str">
        <x:v>Indice alternatif — peers US</x:v>
      </x:c>
      <x:c r="B14" s="25" t="str">
        <x:v>Nasdaq Composite</x:v>
      </x:c>
      <x:c r="C14" s="25" t="str">
        <x:v>^IXIC</x:v>
      </x:c>
      <x:c r="D14" s="32" t="str">
        <x:v>Sensibilité technologique</x:v>
      </x:c>
      <x:c r="E14" s="32" t="str">
        <x:v>Sensibilité</x:v>
      </x:c>
      <x:c r="F14" s="33" t="str">
        <x:v>Produit des bêtas plus faibles sur cette fenêtre</x:v>
      </x:c>
    </x:row>
    <x:row r="15">
      <x:c r="A15" s="23" t="str">
        <x:v>Désendettement</x:v>
      </x:c>
      <x:c r="B15" s="25" t="str">
        <x:v>Hamada</x:v>
      </x:c>
      <x:c r="C15" s="25" t="str">
        <x:v>βU=βL/[1+(1−T)D/E]</x:v>
      </x:c>
      <x:c r="D15" s="32" t="str">
        <x:v>Dette brute / capitalisation boursière</x:v>
      </x:c>
      <x:c r="E15" s="32" t="str">
        <x:v>Formule</x:v>
      </x:c>
      <x:c r="F15" s="33" t="str">
        <x:v>Taux normalisé de 25% pour les peers</x:v>
      </x:c>
    </x:row>
    <x:row r="16">
      <x:c r="A16" s="27" t="str">
        <x:v>Réendettement Sidetrade</x:v>
      </x:c>
      <x:c r="B16" s="28" t="str">
        <x:v>Hamada</x:v>
      </x:c>
      <x:c r="C16" s="28" t="str">
        <x:v>βL=βU×[1+(1−T)D/E]</x:v>
      </x:c>
      <x:c r="D16" s="34" t="str">
        <x:v>Structure cible du modèle</x:v>
      </x:c>
      <x:c r="E16" s="34" t="str">
        <x:v>Formule</x:v>
      </x:c>
      <x:c r="F16" s="35" t="str">
        <x:v>D/(D+E)=20%, IS France=25,83%</x:v>
      </x:c>
    </x:row>
    <x:row r="18" ht="48" customHeight="1">
      <x:c r="A18" s="41" t="str">
        <x:v>Point de vigilance : le bêta propre de Sidetrade est présenté comme contrôle, pas comme estimateur principal du WACC. Sa faible liquidité et son R² très bas rendent la médiane des comparables désendettés plus robuste.</x:v>
      </x:c>
      <x:c r="B18" s="42"/>
      <x:c r="C18" s="42"/>
      <x:c r="D18" s="42"/>
      <x:c r="E18" s="42"/>
      <x:c r="F18" s="43"/>
    </x:row>
  </x:sheetData>
  <x:mergeCells>
    <x:mergeCell ref="A1:F1"/>
    <x:mergeCell ref="A2:F2"/>
    <x:mergeCell ref="A18:F18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</x:cols>
  <x:sheetData>
    <x:row r="1" ht="28" customHeight="1">
      <x:c r="A1" s="192" t="str">
        <x:v>COURS HEBDOMADAIRES AJUSTÉS — 105 OBSERVATIONS</x:v>
      </x:c>
      <x:c r="B1" s="192" t="str">
        <x:v>COURS HEBDOMADAIRES AJUSTÉS — 105 OBSERVATIONS</x:v>
      </x:c>
      <x:c r="C1" s="192" t="str">
        <x:v>COURS HEBDOMADAIRES AJUSTÉS — 105 OBSERVATIONS</x:v>
      </x:c>
      <x:c r="D1" s="192" t="str">
        <x:v>COURS HEBDOMADAIRES AJUSTÉS — 105 OBSERVATIONS</x:v>
      </x:c>
      <x:c r="E1" s="192" t="str">
        <x:v>COURS HEBDOMADAIRES AJUSTÉS — 105 OBSERVATIONS</x:v>
      </x:c>
      <x:c r="F1" s="192" t="str">
        <x:v>COURS HEBDOMADAIRES AJUSTÉS — 105 OBSERVATIONS</x:v>
      </x:c>
      <x:c r="G1" s="192" t="str">
        <x:v>COURS HEBDOMADAIRES AJUSTÉS — 105 OBSERVATIONS</x:v>
      </x:c>
      <x:c r="H1" s="192" t="str">
        <x:v>COURS HEBDOMADAIRES AJUSTÉS — 105 OBSERVATIONS</x:v>
      </x:c>
      <x:c r="I1" s="192" t="str">
        <x:v>COURS HEBDOMADAIRES AJUSTÉS — 105 OBSERVATIONS</x:v>
      </x:c>
      <x:c r="J1" s="192" t="str">
        <x:v>COURS HEBDOMADAIRES AJUSTÉS — 105 OBSERVATIONS</x:v>
      </x:c>
    </x:row>
    <x:row r="2">
      <x:c r="A2" s="44" t="str">
        <x:v>Dernière clôture disponible de chaque semaine civile, du 12/07/2024 au 10/07/2026. Les dates de prix exactes sont conservées dans raw_data/weekly_adjusted_prices.csv.</x:v>
      </x:c>
      <x:c r="B2" s="44"/>
      <x:c r="C2" s="44"/>
      <x:c r="D2" s="44"/>
      <x:c r="E2" s="44"/>
      <x:c r="F2" s="44"/>
      <x:c r="G2" s="44"/>
      <x:c r="H2" s="44"/>
      <x:c r="I2" s="44"/>
      <x:c r="J2" s="44"/>
    </x:row>
    <x:row r="4" ht="28" customHeight="1">
      <x:c r="A4" s="15" t="str">
        <x:v>Semaine fin</x:v>
      </x:c>
      <x:c r="B4" s="16" t="str">
        <x:v>Sidetrade</x:v>
      </x:c>
      <x:c r="C4" s="16" t="str">
        <x:v>CAC 40</x:v>
      </x:c>
      <x:c r="D4" s="16" t="str">
        <x:v>BlackLine</x:v>
      </x:c>
      <x:c r="E4" s="16" t="str">
        <x:v>BILL</x:v>
      </x:c>
      <x:c r="F4" s="16" t="str">
        <x:v>nCino</x:v>
      </x:c>
      <x:c r="G4" s="16" t="str">
        <x:v>Workiva</x:v>
      </x:c>
      <x:c r="H4" s="16" t="str">
        <x:v>S&amp;P 500</x:v>
      </x:c>
      <x:c r="I4" s="16" t="str">
        <x:v>Nasdaq</x:v>
      </x:c>
      <x:c r="J4" s="17" t="str">
        <x:v>STOXX 600</x:v>
      </x:c>
    </x:row>
    <x:row r="5">
      <x:c r="A5" s="18" t="n">
        <x:v>45485</x:v>
      </x:c>
      <x:c r="B5" s="45" t="n">
        <x:v>175</x:v>
      </x:c>
      <x:c r="C5" s="46" t="n">
        <x:v>7724.31982421875</x:v>
      </x:c>
      <x:c r="D5" s="47" t="n">
        <x:v>47.9900016784668</x:v>
      </x:c>
      <x:c r="E5" s="47" t="n">
        <x:v>51.2599983215332</x:v>
      </x:c>
      <x:c r="F5" s="47" t="n">
        <x:v>31.360000610351562</x:v>
      </x:c>
      <x:c r="G5" s="47" t="n">
        <x:v>74.33000183105469</x:v>
      </x:c>
      <x:c r="H5" s="46" t="n">
        <x:v>5615.35009765625</x:v>
      </x:c>
      <x:c r="I5" s="46" t="n">
        <x:v>18398.44921875</x:v>
      </x:c>
      <x:c r="J5" s="46" t="n">
        <x:v>524.0800170898438</x:v>
      </x:c>
    </x:row>
    <x:row r="6">
      <x:c r="A6" s="18" t="n">
        <x:v>45492</x:v>
      </x:c>
      <x:c r="B6" s="45" t="n">
        <x:v>180</x:v>
      </x:c>
      <x:c r="C6" s="46" t="n">
        <x:v>7534.52001953125</x:v>
      </x:c>
      <x:c r="D6" s="47" t="n">
        <x:v>46.77000045776367</x:v>
      </x:c>
      <x:c r="E6" s="47" t="n">
        <x:v>53.61000061035156</x:v>
      </x:c>
      <x:c r="F6" s="47" t="n">
        <x:v>31.979999542236328</x:v>
      </x:c>
      <x:c r="G6" s="47" t="n">
        <x:v>72.08999633789062</x:v>
      </x:c>
      <x:c r="H6" s="46" t="n">
        <x:v>5505</x:v>
      </x:c>
      <x:c r="I6" s="46" t="n">
        <x:v>17726.939453125</x:v>
      </x:c>
      <x:c r="J6" s="46" t="n">
        <x:v>510.0299987792969</x:v>
      </x:c>
    </x:row>
    <x:row r="7">
      <x:c r="A7" s="18" t="n">
        <x:v>45499</x:v>
      </x:c>
      <x:c r="B7" s="45" t="n">
        <x:v>194</x:v>
      </x:c>
      <x:c r="C7" s="46" t="n">
        <x:v>7517.68017578125</x:v>
      </x:c>
      <x:c r="D7" s="47" t="n">
        <x:v>47.81999969482422</x:v>
      </x:c>
      <x:c r="E7" s="47" t="n">
        <x:v>52.83000183105469</x:v>
      </x:c>
      <x:c r="F7" s="47" t="n">
        <x:v>33.540000915527344</x:v>
      </x:c>
      <x:c r="G7" s="47" t="n">
        <x:v>74.5199966430664</x:v>
      </x:c>
      <x:c r="H7" s="46" t="n">
        <x:v>5459.10009765625</x:v>
      </x:c>
      <x:c r="I7" s="46" t="n">
        <x:v>17357.880859375</x:v>
      </x:c>
      <x:c r="J7" s="46" t="n">
        <x:v>512.8300170898438</x:v>
      </x:c>
    </x:row>
    <x:row r="8">
      <x:c r="A8" s="18" t="n">
        <x:v>45506</x:v>
      </x:c>
      <x:c r="B8" s="45" t="n">
        <x:v>192.5</x:v>
      </x:c>
      <x:c r="C8" s="46" t="n">
        <x:v>7251.7998046875</x:v>
      </x:c>
      <x:c r="D8" s="47" t="n">
        <x:v>45.56999969482422</x:v>
      </x:c>
      <x:c r="E8" s="47" t="n">
        <x:v>46.77000045776367</x:v>
      </x:c>
      <x:c r="F8" s="47" t="n">
        <x:v>31.450000762939453</x:v>
      </x:c>
      <x:c r="G8" s="47" t="n">
        <x:v>72.19000244140625</x:v>
      </x:c>
      <x:c r="H8" s="46" t="n">
        <x:v>5346.56005859375</x:v>
      </x:c>
      <x:c r="I8" s="46" t="n">
        <x:v>16776.16015625</x:v>
      </x:c>
      <x:c r="J8" s="46" t="n">
        <x:v>497.8500061035156</x:v>
      </x:c>
    </x:row>
    <x:row r="9">
      <x:c r="A9" s="18" t="n">
        <x:v>45513</x:v>
      </x:c>
      <x:c r="B9" s="45" t="n">
        <x:v>203</x:v>
      </x:c>
      <x:c r="C9" s="46" t="n">
        <x:v>7269.7099609375</x:v>
      </x:c>
      <x:c r="D9" s="47" t="n">
        <x:v>51.65999984741211</x:v>
      </x:c>
      <x:c r="E9" s="47" t="n">
        <x:v>46.939998626708984</x:v>
      </x:c>
      <x:c r="F9" s="47" t="n">
        <x:v>32.099998474121094</x:v>
      </x:c>
      <x:c r="G9" s="47" t="n">
        <x:v>74.62000274658203</x:v>
      </x:c>
      <x:c r="H9" s="46" t="n">
        <x:v>5344.16015625</x:v>
      </x:c>
      <x:c r="I9" s="46" t="n">
        <x:v>16745.30078125</x:v>
      </x:c>
      <x:c r="J9" s="46" t="n">
        <x:v>499.19000244140625</x:v>
      </x:c>
    </x:row>
    <x:row r="10">
      <x:c r="A10" s="18" t="n">
        <x:v>45520</x:v>
      </x:c>
      <x:c r="B10" s="45" t="n">
        <x:v>205</x:v>
      </x:c>
      <x:c r="C10" s="46" t="n">
        <x:v>7449.7001953125</x:v>
      </x:c>
      <x:c r="D10" s="47" t="n">
        <x:v>51.560001373291016</x:v>
      </x:c>
      <x:c r="E10" s="47" t="n">
        <x:v>49.119998931884766</x:v>
      </x:c>
      <x:c r="F10" s="47" t="n">
        <x:v>34.2400016784668</x:v>
      </x:c>
      <x:c r="G10" s="47" t="n">
        <x:v>78.19999694824219</x:v>
      </x:c>
      <x:c r="H10" s="46" t="n">
        <x:v>5554.25</x:v>
      </x:c>
      <x:c r="I10" s="46" t="n">
        <x:v>17631.720703125</x:v>
      </x:c>
      <x:c r="J10" s="46" t="n">
        <x:v>511.45001220703125</x:v>
      </x:c>
    </x:row>
    <x:row r="11">
      <x:c r="A11" s="18" t="n">
        <x:v>45527</x:v>
      </x:c>
      <x:c r="B11" s="45" t="n">
        <x:v>225</x:v>
      </x:c>
      <x:c r="C11" s="46" t="n">
        <x:v>7577.0400390625</x:v>
      </x:c>
      <x:c r="D11" s="47" t="n">
        <x:v>50.83000183105469</x:v>
      </x:c>
      <x:c r="E11" s="47" t="n">
        <x:v>47.34000015258789</x:v>
      </x:c>
      <x:c r="F11" s="47" t="n">
        <x:v>35</x:v>
      </x:c>
      <x:c r="G11" s="47" t="n">
        <x:v>79.63999938964844</x:v>
      </x:c>
      <x:c r="H11" s="46" t="n">
        <x:v>5634.60986328125</x:v>
      </x:c>
      <x:c r="I11" s="46" t="n">
        <x:v>17877.7890625</x:v>
      </x:c>
      <x:c r="J11" s="46" t="n">
        <x:v>518.1300048828125</x:v>
      </x:c>
    </x:row>
    <x:row r="12">
      <x:c r="A12" s="18" t="n">
        <x:v>45534</x:v>
      </x:c>
      <x:c r="B12" s="45" t="n">
        <x:v>200</x:v>
      </x:c>
      <x:c r="C12" s="46" t="n">
        <x:v>7630.9501953125</x:v>
      </x:c>
      <x:c r="D12" s="47" t="n">
        <x:v>49.54999923706055</x:v>
      </x:c>
      <x:c r="E12" s="47" t="n">
        <x:v>54.560001373291016</x:v>
      </x:c>
      <x:c r="F12" s="47" t="n">
        <x:v>29.959999084472656</x:v>
      </x:c>
      <x:c r="G12" s="47" t="n">
        <x:v>78.16999816894531</x:v>
      </x:c>
      <x:c r="H12" s="46" t="n">
        <x:v>5648.39990234375</x:v>
      </x:c>
      <x:c r="I12" s="46" t="n">
        <x:v>17713.619140625</x:v>
      </x:c>
      <x:c r="J12" s="46" t="n">
        <x:v>525.0499877929688</x:v>
      </x:c>
    </x:row>
    <x:row r="13">
      <x:c r="A13" s="18" t="n">
        <x:v>45541</x:v>
      </x:c>
      <x:c r="B13" s="45" t="n">
        <x:v>202</x:v>
      </x:c>
      <x:c r="C13" s="46" t="n">
        <x:v>7352.2998046875</x:v>
      </x:c>
      <x:c r="D13" s="47" t="n">
        <x:v>47.91999816894531</x:v>
      </x:c>
      <x:c r="E13" s="47" t="n">
        <x:v>55.060001373291016</x:v>
      </x:c>
      <x:c r="F13" s="47" t="n">
        <x:v>30.049999237060547</x:v>
      </x:c>
      <x:c r="G13" s="47" t="n">
        <x:v>73.08999633789062</x:v>
      </x:c>
      <x:c r="H13" s="46" t="n">
        <x:v>5408.419921875</x:v>
      </x:c>
      <x:c r="I13" s="46" t="n">
        <x:v>16690.830078125</x:v>
      </x:c>
      <x:c r="J13" s="46" t="n">
        <x:v>506.55999755859375</x:v>
      </x:c>
    </x:row>
    <x:row r="14">
      <x:c r="A14" s="18" t="n">
        <x:v>45548</x:v>
      </x:c>
      <x:c r="B14" s="45" t="n">
        <x:v>200</x:v>
      </x:c>
      <x:c r="C14" s="46" t="n">
        <x:v>7465.25</x:v>
      </x:c>
      <x:c r="D14" s="47" t="n">
        <x:v>50.0099983215332</x:v>
      </x:c>
      <x:c r="E14" s="47" t="n">
        <x:v>51.90999984741211</x:v>
      </x:c>
      <x:c r="F14" s="47" t="n">
        <x:v>29.389999389648438</x:v>
      </x:c>
      <x:c r="G14" s="47" t="n">
        <x:v>74.7300033569336</x:v>
      </x:c>
      <x:c r="H14" s="46" t="n">
        <x:v>5626.02001953125</x:v>
      </x:c>
      <x:c r="I14" s="46" t="n">
        <x:v>17683.98046875</x:v>
      </x:c>
      <x:c r="J14" s="46" t="n">
        <x:v>515.9500122070312</x:v>
      </x:c>
    </x:row>
    <x:row r="15">
      <x:c r="A15" s="18" t="n">
        <x:v>45555</x:v>
      </x:c>
      <x:c r="B15" s="45" t="n">
        <x:v>213</x:v>
      </x:c>
      <x:c r="C15" s="46" t="n">
        <x:v>7500.259765625</x:v>
      </x:c>
      <x:c r="D15" s="47" t="n">
        <x:v>51.97999954223633</x:v>
      </x:c>
      <x:c r="E15" s="47" t="n">
        <x:v>54.2599983215332</x:v>
      </x:c>
      <x:c r="F15" s="47" t="n">
        <x:v>30.440000534057617</x:v>
      </x:c>
      <x:c r="G15" s="47" t="n">
        <x:v>79.16000366210938</x:v>
      </x:c>
      <x:c r="H15" s="46" t="n">
        <x:v>5702.5498046875</x:v>
      </x:c>
      <x:c r="I15" s="46" t="n">
        <x:v>17948.3203125</x:v>
      </x:c>
      <x:c r="J15" s="46" t="n">
        <x:v>514.260009765625</x:v>
      </x:c>
    </x:row>
    <x:row r="16">
      <x:c r="A16" s="18" t="n">
        <x:v>45562</x:v>
      </x:c>
      <x:c r="B16" s="45" t="n">
        <x:v>229</x:v>
      </x:c>
      <x:c r="C16" s="46" t="n">
        <x:v>7791.7900390625</x:v>
      </x:c>
      <x:c r="D16" s="47" t="n">
        <x:v>52.849998474121094</x:v>
      </x:c>
      <x:c r="E16" s="47" t="n">
        <x:v>53.18000030517578</x:v>
      </x:c>
      <x:c r="F16" s="47" t="n">
        <x:v>31.290000915527344</x:v>
      </x:c>
      <x:c r="G16" s="47" t="n">
        <x:v>80.4800033569336</x:v>
      </x:c>
      <x:c r="H16" s="46" t="n">
        <x:v>5738.169921875</x:v>
      </x:c>
      <x:c r="I16" s="46" t="n">
        <x:v>18119.58984375</x:v>
      </x:c>
      <x:c r="J16" s="46" t="n">
        <x:v>528.0800170898438</x:v>
      </x:c>
    </x:row>
    <x:row r="17">
      <x:c r="A17" s="18" t="n">
        <x:v>45569</x:v>
      </x:c>
      <x:c r="B17" s="45" t="n">
        <x:v>219</x:v>
      </x:c>
      <x:c r="C17" s="46" t="n">
        <x:v>7541.35986328125</x:v>
      </x:c>
      <x:c r="D17" s="47" t="n">
        <x:v>54.5099983215332</x:v>
      </x:c>
      <x:c r="E17" s="47" t="n">
        <x:v>55.5099983215332</x:v>
      </x:c>
      <x:c r="F17" s="47" t="n">
        <x:v>30.969999313354492</x:v>
      </x:c>
      <x:c r="G17" s="47" t="n">
        <x:v>79.7300033569336</x:v>
      </x:c>
      <x:c r="H17" s="46" t="n">
        <x:v>5751.06982421875</x:v>
      </x:c>
      <x:c r="I17" s="46" t="n">
        <x:v>18137.849609375</x:v>
      </x:c>
      <x:c r="J17" s="46" t="n">
        <x:v>518.5599975585938</x:v>
      </x:c>
    </x:row>
    <x:row r="18">
      <x:c r="A18" s="18" t="n">
        <x:v>45576</x:v>
      </x:c>
      <x:c r="B18" s="45" t="n">
        <x:v>222</x:v>
      </x:c>
      <x:c r="C18" s="46" t="n">
        <x:v>7577.89013671875</x:v>
      </x:c>
      <x:c r="D18" s="47" t="n">
        <x:v>56.040000915527344</x:v>
      </x:c>
      <x:c r="E18" s="47" t="n">
        <x:v>55.81999969482422</x:v>
      </x:c>
      <x:c r="F18" s="47" t="n">
        <x:v>34.5099983215332</x:v>
      </x:c>
      <x:c r="G18" s="47" t="n">
        <x:v>79.08999633789062</x:v>
      </x:c>
      <x:c r="H18" s="46" t="n">
        <x:v>5815.02978515625</x:v>
      </x:c>
      <x:c r="I18" s="46" t="n">
        <x:v>18342.939453125</x:v>
      </x:c>
      <x:c r="J18" s="46" t="n">
        <x:v>521.97998046875</x:v>
      </x:c>
    </x:row>
    <x:row r="19">
      <x:c r="A19" s="18" t="n">
        <x:v>45583</x:v>
      </x:c>
      <x:c r="B19" s="45" t="n">
        <x:v>224</x:v>
      </x:c>
      <x:c r="C19" s="46" t="n">
        <x:v>7613.0498046875</x:v>
      </x:c>
      <x:c r="D19" s="47" t="n">
        <x:v>58.93000030517578</x:v>
      </x:c>
      <x:c r="E19" s="47" t="n">
        <x:v>57.77000045776367</x:v>
      </x:c>
      <x:c r="F19" s="47" t="n">
        <x:v>36.58000183105469</x:v>
      </x:c>
      <x:c r="G19" s="47" t="n">
        <x:v>81.5199966430664</x:v>
      </x:c>
      <x:c r="H19" s="46" t="n">
        <x:v>5864.669921875</x:v>
      </x:c>
      <x:c r="I19" s="46" t="n">
        <x:v>18489.55078125</x:v>
      </x:c>
      <x:c r="J19" s="46" t="n">
        <x:v>524.989990234375</x:v>
      </x:c>
    </x:row>
    <x:row r="20">
      <x:c r="A20" s="18" t="n">
        <x:v>45590</x:v>
      </x:c>
      <x:c r="B20" s="45" t="n">
        <x:v>228</x:v>
      </x:c>
      <x:c r="C20" s="46" t="n">
        <x:v>7497.5400390625</x:v>
      </x:c>
      <x:c r="D20" s="47" t="n">
        <x:v>56.56999969482422</x:v>
      </x:c>
      <x:c r="E20" s="47" t="n">
        <x:v>54.77000045776367</x:v>
      </x:c>
      <x:c r="F20" s="47" t="n">
        <x:v>37.83000183105469</x:v>
      </x:c>
      <x:c r="G20" s="47" t="n">
        <x:v>78.77999877929688</x:v>
      </x:c>
      <x:c r="H20" s="46" t="n">
        <x:v>5808.1201171875</x:v>
      </x:c>
      <x:c r="I20" s="46" t="n">
        <x:v>18518.609375</x:v>
      </x:c>
      <x:c r="J20" s="46" t="n">
        <x:v>518.8099975585938</x:v>
      </x:c>
    </x:row>
    <x:row r="21">
      <x:c r="A21" s="18" t="n">
        <x:v>45597</x:v>
      </x:c>
      <x:c r="B21" s="45" t="n">
        <x:v>221</x:v>
      </x:c>
      <x:c r="C21" s="46" t="n">
        <x:v>7409.10986328125</x:v>
      </x:c>
      <x:c r="D21" s="47" t="n">
        <x:v>55.5099983215332</x:v>
      </x:c>
      <x:c r="E21" s="47" t="n">
        <x:v>58.2599983215332</x:v>
      </x:c>
      <x:c r="F21" s="47" t="n">
        <x:v>37.33000183105469</x:v>
      </x:c>
      <x:c r="G21" s="47" t="n">
        <x:v>79.16999816894531</x:v>
      </x:c>
      <x:c r="H21" s="46" t="n">
        <x:v>5728.7998046875</x:v>
      </x:c>
      <x:c r="I21" s="46" t="n">
        <x:v>18239.919921875</x:v>
      </x:c>
      <x:c r="J21" s="46" t="n">
        <x:v>510.8999938964844</x:v>
      </x:c>
    </x:row>
    <x:row r="22">
      <x:c r="A22" s="18" t="n">
        <x:v>45604</x:v>
      </x:c>
      <x:c r="B22" s="45" t="n">
        <x:v>226</x:v>
      </x:c>
      <x:c r="C22" s="46" t="n">
        <x:v>7338.669921875</x:v>
      </x:c>
      <x:c r="D22" s="47" t="n">
        <x:v>60.369998931884766</x:v>
      </x:c>
      <x:c r="E22" s="47" t="n">
        <x:v>77.30999755859375</x:v>
      </x:c>
      <x:c r="F22" s="47" t="n">
        <x:v>42.529998779296875</x:v>
      </x:c>
      <x:c r="G22" s="47" t="n">
        <x:v>94.75</x:v>
      </x:c>
      <x:c r="H22" s="46" t="n">
        <x:v>5995.5400390625</x:v>
      </x:c>
      <x:c r="I22" s="46" t="n">
        <x:v>19286.779296875</x:v>
      </x:c>
      <x:c r="J22" s="46" t="n">
        <x:v>506.6300048828125</x:v>
      </x:c>
    </x:row>
    <x:row r="23">
      <x:c r="A23" s="18" t="n">
        <x:v>45611</x:v>
      </x:c>
      <x:c r="B23" s="45" t="n">
        <x:v>228</x:v>
      </x:c>
      <x:c r="C23" s="46" t="n">
        <x:v>7269.6298828125</x:v>
      </x:c>
      <x:c r="D23" s="47" t="n">
        <x:v>59.310001373291016</x:v>
      </x:c>
      <x:c r="E23" s="47" t="n">
        <x:v>84.69000244140625</x:v>
      </x:c>
      <x:c r="F23" s="47" t="n">
        <x:v>40.220001220703125</x:v>
      </x:c>
      <x:c r="G23" s="47" t="n">
        <x:v>91.27999877929688</x:v>
      </x:c>
      <x:c r="H23" s="46" t="n">
        <x:v>5870.6201171875</x:v>
      </x:c>
      <x:c r="I23" s="46" t="n">
        <x:v>18680.119140625</x:v>
      </x:c>
      <x:c r="J23" s="46" t="n">
        <x:v>503.1199951171875</x:v>
      </x:c>
    </x:row>
    <x:row r="24">
      <x:c r="A24" s="18" t="n">
        <x:v>45618</x:v>
      </x:c>
      <x:c r="B24" s="45" t="n">
        <x:v>227</x:v>
      </x:c>
      <x:c r="C24" s="46" t="n">
        <x:v>7255.009765625</x:v>
      </x:c>
      <x:c r="D24" s="47" t="n">
        <x:v>62.70000076293945</x:v>
      </x:c>
      <x:c r="E24" s="47" t="n">
        <x:v>91.51000213623047</x:v>
      </x:c>
      <x:c r="F24" s="47" t="n">
        <x:v>41.41999816894531</x:v>
      </x:c>
      <x:c r="G24" s="47" t="n">
        <x:v>95.62000274658203</x:v>
      </x:c>
      <x:c r="H24" s="46" t="n">
        <x:v>5969.33984375</x:v>
      </x:c>
      <x:c r="I24" s="46" t="n">
        <x:v>19003.650390625</x:v>
      </x:c>
      <x:c r="J24" s="46" t="n">
        <x:v>508.4700012207031</x:v>
      </x:c>
    </x:row>
    <x:row r="25">
      <x:c r="A25" s="18" t="n">
        <x:v>45625</x:v>
      </x:c>
      <x:c r="B25" s="45" t="n">
        <x:v>224</x:v>
      </x:c>
      <x:c r="C25" s="46" t="n">
        <x:v>7235.10986328125</x:v>
      </x:c>
      <x:c r="D25" s="47" t="n">
        <x:v>62.0099983215332</x:v>
      </x:c>
      <x:c r="E25" s="47" t="n">
        <x:v>90.22000122070312</x:v>
      </x:c>
      <x:c r="F25" s="47" t="n">
        <x:v>41.9900016784668</x:v>
      </x:c>
      <x:c r="G25" s="47" t="n">
        <x:v>97.25</x:v>
      </x:c>
      <x:c r="H25" s="46" t="n">
        <x:v>6032.3798828125</x:v>
      </x:c>
      <x:c r="I25" s="46" t="n">
        <x:v>19218.169921875</x:v>
      </x:c>
      <x:c r="J25" s="46" t="n">
        <x:v>510.25</x:v>
      </x:c>
    </x:row>
    <x:row r="26">
      <x:c r="A26" s="18" t="n">
        <x:v>45632</x:v>
      </x:c>
      <x:c r="B26" s="45" t="n">
        <x:v>219</x:v>
      </x:c>
      <x:c r="C26" s="46" t="n">
        <x:v>7426.8798828125</x:v>
      </x:c>
      <x:c r="D26" s="47" t="n">
        <x:v>64.2300033569336</x:v>
      </x:c>
      <x:c r="E26" s="47" t="n">
        <x:v>97.41000366210938</x:v>
      </x:c>
      <x:c r="F26" s="47" t="n">
        <x:v>37.40999984741211</x:v>
      </x:c>
      <x:c r="G26" s="47" t="n">
        <x:v>102.86000061035156</x:v>
      </x:c>
      <x:c r="H26" s="46" t="n">
        <x:v>6090.27001953125</x:v>
      </x:c>
      <x:c r="I26" s="46" t="n">
        <x:v>19859.76953125</x:v>
      </x:c>
      <x:c r="J26" s="46" t="n">
        <x:v>520.469970703125</x:v>
      </x:c>
    </x:row>
    <x:row r="27">
      <x:c r="A27" s="18" t="n">
        <x:v>45639</x:v>
      </x:c>
      <x:c r="B27" s="45" t="n">
        <x:v>223</x:v>
      </x:c>
      <x:c r="C27" s="46" t="n">
        <x:v>7409.56982421875</x:v>
      </x:c>
      <x:c r="D27" s="47" t="n">
        <x:v>63.86000061035156</x:v>
      </x:c>
      <x:c r="E27" s="47" t="n">
        <x:v>87.83999633789062</x:v>
      </x:c>
      <x:c r="F27" s="47" t="n">
        <x:v>35.459999084472656</x:v>
      </x:c>
      <x:c r="G27" s="47" t="n">
        <x:v>103.87000274658203</x:v>
      </x:c>
      <x:c r="H27" s="46" t="n">
        <x:v>6051.08984375</x:v>
      </x:c>
      <x:c r="I27" s="46" t="n">
        <x:v>19926.720703125</x:v>
      </x:c>
      <x:c r="J27" s="46" t="n">
        <x:v>516.4500122070312</x:v>
      </x:c>
    </x:row>
    <x:row r="28">
      <x:c r="A28" s="18" t="n">
        <x:v>45646</x:v>
      </x:c>
      <x:c r="B28" s="45" t="n">
        <x:v>228</x:v>
      </x:c>
      <x:c r="C28" s="46" t="n">
        <x:v>7274.47998046875</x:v>
      </x:c>
      <x:c r="D28" s="47" t="n">
        <x:v>63.43000030517578</x:v>
      </x:c>
      <x:c r="E28" s="47" t="n">
        <x:v>89.5199966430664</x:v>
      </x:c>
      <x:c r="F28" s="47" t="n">
        <x:v>35.220001220703125</x:v>
      </x:c>
      <x:c r="G28" s="47" t="n">
        <x:v>114.77999877929688</x:v>
      </x:c>
      <x:c r="H28" s="46" t="n">
        <x:v>5930.85009765625</x:v>
      </x:c>
      <x:c r="I28" s="46" t="n">
        <x:v>19572.599609375</x:v>
      </x:c>
      <x:c r="J28" s="46" t="n">
        <x:v>502.19000244140625</x:v>
      </x:c>
    </x:row>
    <x:row r="29">
      <x:c r="A29" s="18" t="n">
        <x:v>45653</x:v>
      </x:c>
      <x:c r="B29" s="45" t="n">
        <x:v>222</x:v>
      </x:c>
      <x:c r="C29" s="46" t="n">
        <x:v>7355.3701171875</x:v>
      </x:c>
      <x:c r="D29" s="47" t="n">
        <x:v>61.20000076293945</x:v>
      </x:c>
      <x:c r="E29" s="47" t="n">
        <x:v>86.94000244140625</x:v>
      </x:c>
      <x:c r="F29" s="47" t="n">
        <x:v>34.43000030517578</x:v>
      </x:c>
      <x:c r="G29" s="47" t="n">
        <x:v>111.12999725341797</x:v>
      </x:c>
      <x:c r="H29" s="46" t="n">
        <x:v>5970.83984375</x:v>
      </x:c>
      <x:c r="I29" s="46" t="n">
        <x:v>19722.029296875</x:v>
      </x:c>
      <x:c r="J29" s="46" t="n">
        <x:v>507.17999267578125</x:v>
      </x:c>
    </x:row>
    <x:row r="30">
      <x:c r="A30" s="18" t="n">
        <x:v>45660</x:v>
      </x:c>
      <x:c r="B30" s="45" t="n">
        <x:v>224</x:v>
      </x:c>
      <x:c r="C30" s="46" t="n">
        <x:v>7282.22021484375</x:v>
      </x:c>
      <x:c r="D30" s="47" t="n">
        <x:v>61.63999938964844</x:v>
      </x:c>
      <x:c r="E30" s="47" t="n">
        <x:v>88.23999786376953</x:v>
      </x:c>
      <x:c r="F30" s="47" t="n">
        <x:v>34.06999969482422</x:v>
      </x:c>
      <x:c r="G30" s="47" t="n">
        <x:v>111.3499984741211</x:v>
      </x:c>
      <x:c r="H30" s="46" t="n">
        <x:v>5942.47021484375</x:v>
      </x:c>
      <x:c r="I30" s="46" t="n">
        <x:v>19621.6796875</x:v>
      </x:c>
      <x:c r="J30" s="46" t="n">
        <x:v>508.19000244140625</x:v>
      </x:c>
    </x:row>
    <x:row r="31">
      <x:c r="A31" s="18" t="n">
        <x:v>45667</x:v>
      </x:c>
      <x:c r="B31" s="45" t="n">
        <x:v>234</x:v>
      </x:c>
      <x:c r="C31" s="46" t="n">
        <x:v>7431.0400390625</x:v>
      </x:c>
      <x:c r="D31" s="47" t="n">
        <x:v>55.65999984741211</x:v>
      </x:c>
      <x:c r="E31" s="47" t="n">
        <x:v>83.19999694824219</x:v>
      </x:c>
      <x:c r="F31" s="47" t="n">
        <x:v>32.540000915527344</x:v>
      </x:c>
      <x:c r="G31" s="47" t="n">
        <x:v>105.86000061035156</x:v>
      </x:c>
      <x:c r="H31" s="46" t="n">
        <x:v>5827.0400390625</x:v>
      </x:c>
      <x:c r="I31" s="46" t="n">
        <x:v>19161.630859375</x:v>
      </x:c>
      <x:c r="J31" s="46" t="n">
        <x:v>511.5</x:v>
      </x:c>
    </x:row>
    <x:row r="32">
      <x:c r="A32" s="18" t="n">
        <x:v>45674</x:v>
      </x:c>
      <x:c r="B32" s="45" t="n">
        <x:v>227</x:v>
      </x:c>
      <x:c r="C32" s="46" t="n">
        <x:v>7709.75</x:v>
      </x:c>
      <x:c r="D32" s="47" t="n">
        <x:v>59.650001525878906</x:v>
      </x:c>
      <x:c r="E32" s="47" t="n">
        <x:v>88.9000015258789</x:v>
      </x:c>
      <x:c r="F32" s="47" t="n">
        <x:v>33.2400016784668</x:v>
      </x:c>
      <x:c r="G32" s="47" t="n">
        <x:v>112.02999877929688</x:v>
      </x:c>
      <x:c r="H32" s="46" t="n">
        <x:v>5996.66015625</x:v>
      </x:c>
      <x:c r="I32" s="46" t="n">
        <x:v>19630.19921875</x:v>
      </x:c>
      <x:c r="J32" s="46" t="n">
        <x:v>523.6199951171875</x:v>
      </x:c>
    </x:row>
    <x:row r="33">
      <x:c r="A33" s="18" t="n">
        <x:v>45681</x:v>
      </x:c>
      <x:c r="B33" s="45" t="n">
        <x:v>243</x:v>
      </x:c>
      <x:c r="C33" s="46" t="n">
        <x:v>7927.6201171875</x:v>
      </x:c>
      <x:c r="D33" s="47" t="n">
        <x:v>60.459999084472656</x:v>
      </x:c>
      <x:c r="E33" s="47" t="n">
        <x:v>93.87999725341797</x:v>
      </x:c>
      <x:c r="F33" s="47" t="n">
        <x:v>32.56999969482422</x:v>
      </x:c>
      <x:c r="G33" s="47" t="n">
        <x:v>97</x:v>
      </x:c>
      <x:c r="H33" s="46" t="n">
        <x:v>6101.240234375</x:v>
      </x:c>
      <x:c r="I33" s="46" t="n">
        <x:v>19954.30078125</x:v>
      </x:c>
      <x:c r="J33" s="46" t="n">
        <x:v>530.0700073242188</x:v>
      </x:c>
    </x:row>
    <x:row r="34">
      <x:c r="A34" s="18" t="n">
        <x:v>45688</x:v>
      </x:c>
      <x:c r="B34" s="45" t="n">
        <x:v>253</x:v>
      </x:c>
      <x:c r="C34" s="46" t="n">
        <x:v>7950.169921875</x:v>
      </x:c>
      <x:c r="D34" s="47" t="n">
        <x:v>63.849998474121094</x:v>
      </x:c>
      <x:c r="E34" s="47" t="n">
        <x:v>96.7699966430664</x:v>
      </x:c>
      <x:c r="F34" s="47" t="n">
        <x:v>34.0099983215332</x:v>
      </x:c>
      <x:c r="G34" s="47" t="n">
        <x:v>98.22000122070312</x:v>
      </x:c>
      <x:c r="H34" s="46" t="n">
        <x:v>6040.52978515625</x:v>
      </x:c>
      <x:c r="I34" s="46" t="n">
        <x:v>19627.439453125</x:v>
      </x:c>
      <x:c r="J34" s="46" t="n">
        <x:v>539.530029296875</x:v>
      </x:c>
    </x:row>
    <x:row r="35">
      <x:c r="A35" s="18" t="n">
        <x:v>45695</x:v>
      </x:c>
      <x:c r="B35" s="45" t="n">
        <x:v>255</x:v>
      </x:c>
      <x:c r="C35" s="46" t="n">
        <x:v>7973.02978515625</x:v>
      </x:c>
      <x:c r="D35" s="47" t="n">
        <x:v>64.62999725341797</x:v>
      </x:c>
      <x:c r="E35" s="47" t="n">
        <x:v>62.130001068115234</x:v>
      </x:c>
      <x:c r="F35" s="47" t="n">
        <x:v>32.439998626708984</x:v>
      </x:c>
      <x:c r="G35" s="47" t="n">
        <x:v>98.91999816894531</x:v>
      </x:c>
      <x:c r="H35" s="46" t="n">
        <x:v>6025.990234375</x:v>
      </x:c>
      <x:c r="I35" s="46" t="n">
        <x:v>19523.400390625</x:v>
      </x:c>
      <x:c r="J35" s="46" t="n">
        <x:v>542.75</x:v>
      </x:c>
    </x:row>
    <x:row r="36">
      <x:c r="A36" s="18" t="n">
        <x:v>45702</x:v>
      </x:c>
      <x:c r="B36" s="45" t="n">
        <x:v>252</x:v>
      </x:c>
      <x:c r="C36" s="46" t="n">
        <x:v>8178.5400390625</x:v>
      </x:c>
      <x:c r="D36" s="47" t="n">
        <x:v>51.369998931884766</x:v>
      </x:c>
      <x:c r="E36" s="47" t="n">
        <x:v>59.81999969482422</x:v>
      </x:c>
      <x:c r="F36" s="47" t="n">
        <x:v>34.25</x:v>
      </x:c>
      <x:c r="G36" s="47" t="n">
        <x:v>89.08000183105469</x:v>
      </x:c>
      <x:c r="H36" s="46" t="n">
        <x:v>6114.6298828125</x:v>
      </x:c>
      <x:c r="I36" s="46" t="n">
        <x:v>20026.76953125</x:v>
      </x:c>
      <x:c r="J36" s="46" t="n">
        <x:v>552.4099731445312</x:v>
      </x:c>
    </x:row>
    <x:row r="37">
      <x:c r="A37" s="18" t="n">
        <x:v>45709</x:v>
      </x:c>
      <x:c r="B37" s="45" t="n">
        <x:v>261</x:v>
      </x:c>
      <x:c r="C37" s="46" t="n">
        <x:v>8154.509765625</x:v>
      </x:c>
      <x:c r="D37" s="47" t="n">
        <x:v>49.099998474121094</x:v>
      </x:c>
      <x:c r="E37" s="47" t="n">
        <x:v>52.72999954223633</x:v>
      </x:c>
      <x:c r="F37" s="47" t="n">
        <x:v>32.060001373291016</x:v>
      </x:c>
      <x:c r="G37" s="47" t="n">
        <x:v>84.43000030517578</x:v>
      </x:c>
      <x:c r="H37" s="46" t="n">
        <x:v>6013.1298828125</x:v>
      </x:c>
      <x:c r="I37" s="46" t="n">
        <x:v>19524.009765625</x:v>
      </x:c>
      <x:c r="J37" s="46" t="n">
        <x:v>553.8499755859375</x:v>
      </x:c>
    </x:row>
    <x:row r="38">
      <x:c r="A38" s="18" t="n">
        <x:v>45716</x:v>
      </x:c>
      <x:c r="B38" s="45" t="n">
        <x:v>268</x:v>
      </x:c>
      <x:c r="C38" s="46" t="n">
        <x:v>8111.6298828125</x:v>
      </x:c>
      <x:c r="D38" s="47" t="n">
        <x:v>48.29999923706055</x:v>
      </x:c>
      <x:c r="E38" s="47" t="n">
        <x:v>55.20000076293945</x:v>
      </x:c>
      <x:c r="F38" s="47" t="n">
        <x:v>31.309999465942383</x:v>
      </x:c>
      <x:c r="G38" s="47" t="n">
        <x:v>87.5199966430664</x:v>
      </x:c>
      <x:c r="H38" s="46" t="n">
        <x:v>5954.5</x:v>
      </x:c>
      <x:c r="I38" s="46" t="n">
        <x:v>18847.279296875</x:v>
      </x:c>
      <x:c r="J38" s="46" t="n">
        <x:v>557.1900024414062</x:v>
      </x:c>
    </x:row>
    <x:row r="39">
      <x:c r="A39" s="18" t="n">
        <x:v>45723</x:v>
      </x:c>
      <x:c r="B39" s="45" t="n">
        <x:v>258</x:v>
      </x:c>
      <x:c r="C39" s="46" t="n">
        <x:v>8120.7998046875</x:v>
      </x:c>
      <x:c r="D39" s="47" t="n">
        <x:v>48.880001068115234</x:v>
      </x:c>
      <x:c r="E39" s="47" t="n">
        <x:v>47.2400016784668</x:v>
      </x:c>
      <x:c r="F39" s="47" t="n">
        <x:v>30.530000686645508</x:v>
      </x:c>
      <x:c r="G39" s="47" t="n">
        <x:v>85.87000274658203</x:v>
      </x:c>
      <x:c r="H39" s="46" t="n">
        <x:v>5770.2001953125</x:v>
      </x:c>
      <x:c r="I39" s="46" t="n">
        <x:v>18196.220703125</x:v>
      </x:c>
      <x:c r="J39" s="46" t="n">
        <x:v>553.3499755859375</x:v>
      </x:c>
    </x:row>
    <x:row r="40">
      <x:c r="A40" s="18" t="n">
        <x:v>45730</x:v>
      </x:c>
      <x:c r="B40" s="45" t="n">
        <x:v>255</x:v>
      </x:c>
      <x:c r="C40" s="46" t="n">
        <x:v>8028.27978515625</x:v>
      </x:c>
      <x:c r="D40" s="47" t="n">
        <x:v>49.88999938964844</x:v>
      </x:c>
      <x:c r="E40" s="47" t="n">
        <x:v>46.41999816894531</x:v>
      </x:c>
      <x:c r="F40" s="47" t="n">
        <x:v>28.34000015258789</x:v>
      </x:c>
      <x:c r="G40" s="47" t="n">
        <x:v>87.54000091552734</x:v>
      </x:c>
      <x:c r="H40" s="46" t="n">
        <x:v>5638.93994140625</x:v>
      </x:c>
      <x:c r="I40" s="46" t="n">
        <x:v>17754.08984375</x:v>
      </x:c>
      <x:c r="J40" s="46" t="n">
        <x:v>546.5999755859375</x:v>
      </x:c>
    </x:row>
    <x:row r="41">
      <x:c r="A41" s="18" t="n">
        <x:v>45737</x:v>
      </x:c>
      <x:c r="B41" s="45" t="n">
        <x:v>246</x:v>
      </x:c>
      <x:c r="C41" s="46" t="n">
        <x:v>8042.9501953125</x:v>
      </x:c>
      <x:c r="D41" s="47" t="n">
        <x:v>50.290000915527344</x:v>
      </x:c>
      <x:c r="E41" s="47" t="n">
        <x:v>47.91999816894531</x:v>
      </x:c>
      <x:c r="F41" s="47" t="n">
        <x:v>28.5</x:v>
      </x:c>
      <x:c r="G41" s="47" t="n">
        <x:v>87.2300033569336</x:v>
      </x:c>
      <x:c r="H41" s="46" t="n">
        <x:v>5667.56005859375</x:v>
      </x:c>
      <x:c r="I41" s="46" t="n">
        <x:v>17784.05078125</x:v>
      </x:c>
      <x:c r="J41" s="46" t="n">
        <x:v>549.6699829101562</x:v>
      </x:c>
    </x:row>
    <x:row r="42">
      <x:c r="A42" s="18" t="n">
        <x:v>45744</x:v>
      </x:c>
      <x:c r="B42" s="45" t="n">
        <x:v>242</x:v>
      </x:c>
      <x:c r="C42" s="46" t="n">
        <x:v>7916.080078125</x:v>
      </x:c>
      <x:c r="D42" s="47" t="n">
        <x:v>48.810001373291016</x:v>
      </x:c>
      <x:c r="E42" s="47" t="n">
        <x:v>46.25</x:v>
      </x:c>
      <x:c r="F42" s="47" t="n">
        <x:v>28.920000076293945</x:v>
      </x:c>
      <x:c r="G42" s="47" t="n">
        <x:v>78.7300033569336</x:v>
      </x:c>
      <x:c r="H42" s="46" t="n">
        <x:v>5580.93994140625</x:v>
      </x:c>
      <x:c r="I42" s="46" t="n">
        <x:v>17322.990234375</x:v>
      </x:c>
      <x:c r="J42" s="46" t="n">
        <x:v>542.0999755859375</x:v>
      </x:c>
    </x:row>
    <x:row r="43">
      <x:c r="A43" s="18" t="n">
        <x:v>45751</x:v>
      </x:c>
      <x:c r="B43" s="45" t="n">
        <x:v>227</x:v>
      </x:c>
      <x:c r="C43" s="46" t="n">
        <x:v>7274.9501953125</x:v>
      </x:c>
      <x:c r="D43" s="47" t="n">
        <x:v>44.099998474121094</x:v>
      </x:c>
      <x:c r="E43" s="47" t="n">
        <x:v>39.540000915527344</x:v>
      </x:c>
      <x:c r="F43" s="47" t="n">
        <x:v>21.450000762939453</x:v>
      </x:c>
      <x:c r="G43" s="47" t="n">
        <x:v>67.56999969482422</x:v>
      </x:c>
      <x:c r="H43" s="46" t="n">
        <x:v>5074.080078125</x:v>
      </x:c>
      <x:c r="I43" s="46" t="n">
        <x:v>15587.7900390625</x:v>
      </x:c>
      <x:c r="J43" s="46" t="n">
        <x:v>496.3299865722656</x:v>
      </x:c>
    </x:row>
    <x:row r="44">
      <x:c r="A44" s="18" t="n">
        <x:v>45758</x:v>
      </x:c>
      <x:c r="B44" s="45" t="n">
        <x:v>236.10000610351562</x:v>
      </x:c>
      <x:c r="C44" s="46" t="n">
        <x:v>7104.7998046875</x:v>
      </x:c>
      <x:c r="D44" s="47" t="n">
        <x:v>45.59000015258789</x:v>
      </x:c>
      <x:c r="E44" s="47" t="n">
        <x:v>41.58000183105469</x:v>
      </x:c>
      <x:c r="F44" s="47" t="n">
        <x:v>23.860000610351562</x:v>
      </x:c>
      <x:c r="G44" s="47" t="n">
        <x:v>66.41000366210938</x:v>
      </x:c>
      <x:c r="H44" s="46" t="n">
        <x:v>5363.35986328125</x:v>
      </x:c>
      <x:c r="I44" s="46" t="n">
        <x:v>16724.4609375</x:v>
      </x:c>
      <x:c r="J44" s="46" t="n">
        <x:v>486.79998779296875</x:v>
      </x:c>
    </x:row>
    <x:row r="45">
      <x:c r="A45" s="18" t="n">
        <x:v>45765</x:v>
      </x:c>
      <x:c r="B45" s="45" t="n">
        <x:v>213</x:v>
      </x:c>
      <x:c r="C45" s="46" t="n">
        <x:v>7285.85986328125</x:v>
      </x:c>
      <x:c r="D45" s="47" t="n">
        <x:v>44.439998626708984</x:v>
      </x:c>
      <x:c r="E45" s="47" t="n">
        <x:v>40.61000061035156</x:v>
      </x:c>
      <x:c r="F45" s="47" t="n">
        <x:v>23.950000762939453</x:v>
      </x:c>
      <x:c r="G45" s="47" t="n">
        <x:v>67.62999725341797</x:v>
      </x:c>
      <x:c r="H45" s="46" t="n">
        <x:v>5282.7001953125</x:v>
      </x:c>
      <x:c r="I45" s="46" t="n">
        <x:v>16286.4501953125</x:v>
      </x:c>
      <x:c r="J45" s="46" t="n">
        <x:v>506.4200134277344</x:v>
      </x:c>
    </x:row>
    <x:row r="46">
      <x:c r="A46" s="18" t="n">
        <x:v>45772</x:v>
      </x:c>
      <x:c r="B46" s="45" t="n">
        <x:v>225</x:v>
      </x:c>
      <x:c r="C46" s="46" t="n">
        <x:v>7536.259765625</x:v>
      </x:c>
      <x:c r="D46" s="47" t="n">
        <x:v>47.220001220703125</x:v>
      </x:c>
      <x:c r="E46" s="47" t="n">
        <x:v>45.22999954223633</x:v>
      </x:c>
      <x:c r="F46" s="47" t="n">
        <x:v>23.040000915527344</x:v>
      </x:c>
      <x:c r="G46" s="47" t="n">
        <x:v>73.62000274658203</x:v>
      </x:c>
      <x:c r="H46" s="46" t="n">
        <x:v>5525.2099609375</x:v>
      </x:c>
      <x:c r="I46" s="46" t="n">
        <x:v>17382.939453125</x:v>
      </x:c>
      <x:c r="J46" s="46" t="n">
        <x:v>520.4500122070312</x:v>
      </x:c>
    </x:row>
    <x:row r="47">
      <x:c r="A47" s="18" t="n">
        <x:v>45779</x:v>
      </x:c>
      <x:c r="B47" s="45" t="n">
        <x:v>228</x:v>
      </x:c>
      <x:c r="C47" s="46" t="n">
        <x:v>7770.47998046875</x:v>
      </x:c>
      <x:c r="D47" s="47" t="n">
        <x:v>47.27000045776367</x:v>
      </x:c>
      <x:c r="E47" s="47" t="n">
        <x:v>45.29999923706055</x:v>
      </x:c>
      <x:c r="F47" s="47" t="n">
        <x:v>22.959999084472656</x:v>
      </x:c>
      <x:c r="G47" s="47" t="n">
        <x:v>67.41000366210938</x:v>
      </x:c>
      <x:c r="H47" s="46" t="n">
        <x:v>5686.669921875</x:v>
      </x:c>
      <x:c r="I47" s="46" t="n">
        <x:v>17977.73046875</x:v>
      </x:c>
      <x:c r="J47" s="46" t="n">
        <x:v>536.4299926757812</x:v>
      </x:c>
    </x:row>
    <x:row r="48">
      <x:c r="A48" s="18" t="n">
        <x:v>45786</x:v>
      </x:c>
      <x:c r="B48" s="45" t="n">
        <x:v>242.35000610351562</x:v>
      </x:c>
      <x:c r="C48" s="46" t="n">
        <x:v>7743.75</x:v>
      </x:c>
      <x:c r="D48" s="47" t="n">
        <x:v>53.22999954223633</x:v>
      </x:c>
      <x:c r="E48" s="47" t="n">
        <x:v>44.720001220703125</x:v>
      </x:c>
      <x:c r="F48" s="47" t="n">
        <x:v>24.030000686645508</x:v>
      </x:c>
      <x:c r="G48" s="47" t="n">
        <x:v>67.56999969482422</x:v>
      </x:c>
      <x:c r="H48" s="46" t="n">
        <x:v>5659.91015625</x:v>
      </x:c>
      <x:c r="I48" s="46" t="n">
        <x:v>17928.919921875</x:v>
      </x:c>
      <x:c r="J48" s="46" t="n">
        <x:v>537.9600219726562</x:v>
      </x:c>
    </x:row>
    <x:row r="49">
      <x:c r="A49" s="18" t="n">
        <x:v>45793</x:v>
      </x:c>
      <x:c r="B49" s="45" t="n">
        <x:v>264</x:v>
      </x:c>
      <x:c r="C49" s="46" t="n">
        <x:v>7886.68994140625</x:v>
      </x:c>
      <x:c r="D49" s="47" t="n">
        <x:v>55.540000915527344</x:v>
      </x:c>
      <x:c r="E49" s="47" t="n">
        <x:v>46.2599983215332</x:v>
      </x:c>
      <x:c r="F49" s="47" t="n">
        <x:v>24.600000381469727</x:v>
      </x:c>
      <x:c r="G49" s="47" t="n">
        <x:v>71.45999908447266</x:v>
      </x:c>
      <x:c r="H49" s="46" t="n">
        <x:v>5958.3798828125</x:v>
      </x:c>
      <x:c r="I49" s="46" t="n">
        <x:v>19211.099609375</x:v>
      </x:c>
      <x:c r="J49" s="46" t="n">
        <x:v>549.260009765625</x:v>
      </x:c>
    </x:row>
    <x:row r="50">
      <x:c r="A50" s="18" t="n">
        <x:v>45800</x:v>
      </x:c>
      <x:c r="B50" s="45" t="n">
        <x:v>258</x:v>
      </x:c>
      <x:c r="C50" s="46" t="n">
        <x:v>7734.39990234375</x:v>
      </x:c>
      <x:c r="D50" s="47" t="n">
        <x:v>54.15999984741211</x:v>
      </x:c>
      <x:c r="E50" s="47" t="n">
        <x:v>44.400001525878906</x:v>
      </x:c>
      <x:c r="F50" s="47" t="n">
        <x:v>26.260000228881836</x:v>
      </x:c>
      <x:c r="G50" s="47" t="n">
        <x:v>67.16000366210938</x:v>
      </x:c>
      <x:c r="H50" s="46" t="n">
        <x:v>5802.81982421875</x:v>
      </x:c>
      <x:c r="I50" s="46" t="n">
        <x:v>18737.2109375</x:v>
      </x:c>
      <x:c r="J50" s="46" t="n">
        <x:v>545.1300048828125</x:v>
      </x:c>
    </x:row>
    <x:row r="51">
      <x:c r="A51" s="18" t="n">
        <x:v>45807</x:v>
      </x:c>
      <x:c r="B51" s="45" t="n">
        <x:v>254</x:v>
      </x:c>
      <x:c r="C51" s="46" t="n">
        <x:v>7751.89013671875</x:v>
      </x:c>
      <x:c r="D51" s="47" t="n">
        <x:v>55.93000030517578</x:v>
      </x:c>
      <x:c r="E51" s="47" t="n">
        <x:v>43.68000030517578</x:v>
      </x:c>
      <x:c r="F51" s="47" t="n">
        <x:v>26.299999237060547</x:v>
      </x:c>
      <x:c r="G51" s="47" t="n">
        <x:v>67.29000091552734</x:v>
      </x:c>
      <x:c r="H51" s="46" t="n">
        <x:v>5911.68994140625</x:v>
      </x:c>
      <x:c r="I51" s="46" t="n">
        <x:v>19113.76953125</x:v>
      </x:c>
      <x:c r="J51" s="46" t="n">
        <x:v>548.6699829101562</x:v>
      </x:c>
    </x:row>
    <x:row r="52">
      <x:c r="A52" s="18" t="n">
        <x:v>45814</x:v>
      </x:c>
      <x:c r="B52" s="45" t="n">
        <x:v>279</x:v>
      </x:c>
      <x:c r="C52" s="46" t="n">
        <x:v>7804.8701171875</x:v>
      </x:c>
      <x:c r="D52" s="47" t="n">
        <x:v>57.349998474121094</x:v>
      </x:c>
      <x:c r="E52" s="47" t="n">
        <x:v>45.619998931884766</x:v>
      </x:c>
      <x:c r="F52" s="47" t="n">
        <x:v>27.31999969482422</x:v>
      </x:c>
      <x:c r="G52" s="47" t="n">
        <x:v>69.20999908447266</x:v>
      </x:c>
      <x:c r="H52" s="46" t="n">
        <x:v>6000.35986328125</x:v>
      </x:c>
      <x:c r="I52" s="46" t="n">
        <x:v>19529.94921875</x:v>
      </x:c>
      <x:c r="J52" s="46" t="n">
        <x:v>553.6400146484375</x:v>
      </x:c>
    </x:row>
    <x:row r="53">
      <x:c r="A53" s="18" t="n">
        <x:v>45821</x:v>
      </x:c>
      <x:c r="B53" s="45" t="n">
        <x:v>263</x:v>
      </x:c>
      <x:c r="C53" s="46" t="n">
        <x:v>7684.68017578125</x:v>
      </x:c>
      <x:c r="D53" s="47" t="n">
        <x:v>54.060001373291016</x:v>
      </x:c>
      <x:c r="E53" s="47" t="n">
        <x:v>41.400001525878906</x:v>
      </x:c>
      <x:c r="F53" s="47" t="n">
        <x:v>26.989999771118164</x:v>
      </x:c>
      <x:c r="G53" s="47" t="n">
        <x:v>65.7300033569336</x:v>
      </x:c>
      <x:c r="H53" s="46" t="n">
        <x:v>5976.97021484375</x:v>
      </x:c>
      <x:c r="I53" s="46" t="n">
        <x:v>19406.830078125</x:v>
      </x:c>
      <x:c r="J53" s="46" t="n">
        <x:v>544.9400024414062</x:v>
      </x:c>
    </x:row>
    <x:row r="54">
      <x:c r="A54" s="18" t="n">
        <x:v>45828</x:v>
      </x:c>
      <x:c r="B54" s="45" t="n">
        <x:v>267</x:v>
      </x:c>
      <x:c r="C54" s="46" t="n">
        <x:v>7589.66015625</x:v>
      </x:c>
      <x:c r="D54" s="47" t="n">
        <x:v>54.779998779296875</x:v>
      </x:c>
      <x:c r="E54" s="47" t="n">
        <x:v>43.70000076293945</x:v>
      </x:c>
      <x:c r="F54" s="47" t="n">
        <x:v>26.450000762939453</x:v>
      </x:c>
      <x:c r="G54" s="47" t="n">
        <x:v>65.4000015258789</x:v>
      </x:c>
      <x:c r="H54" s="46" t="n">
        <x:v>5967.83984375</x:v>
      </x:c>
      <x:c r="I54" s="46" t="n">
        <x:v>19447.41015625</x:v>
      </x:c>
      <x:c r="J54" s="46" t="n">
        <x:v>536.530029296875</x:v>
      </x:c>
    </x:row>
    <x:row r="55">
      <x:c r="A55" s="18" t="n">
        <x:v>45835</x:v>
      </x:c>
      <x:c r="B55" s="45" t="n">
        <x:v>255</x:v>
      </x:c>
      <x:c r="C55" s="46" t="n">
        <x:v>7691.5498046875</x:v>
      </x:c>
      <x:c r="D55" s="47" t="n">
        <x:v>56.63999938964844</x:v>
      </x:c>
      <x:c r="E55" s="47" t="n">
        <x:v>45.56999969482422</x:v>
      </x:c>
      <x:c r="F55" s="47" t="n">
        <x:v>27.65999984741211</x:v>
      </x:c>
      <x:c r="G55" s="47" t="n">
        <x:v>65.81999969482422</x:v>
      </x:c>
      <x:c r="H55" s="46" t="n">
        <x:v>6173.06982421875</x:v>
      </x:c>
      <x:c r="I55" s="46" t="n">
        <x:v>20273.4609375</x:v>
      </x:c>
      <x:c r="J55" s="46" t="n">
        <x:v>543.6300048828125</x:v>
      </x:c>
    </x:row>
    <x:row r="56">
      <x:c r="A56" s="18" t="n">
        <x:v>45842</x:v>
      </x:c>
      <x:c r="B56" s="45" t="n">
        <x:v>249</x:v>
      </x:c>
      <x:c r="C56" s="46" t="n">
        <x:v>7696.27001953125</x:v>
      </x:c>
      <x:c r="D56" s="47" t="n">
        <x:v>57.810001373291016</x:v>
      </x:c>
      <x:c r="E56" s="47" t="n">
        <x:v>48.209999084472656</x:v>
      </x:c>
      <x:c r="F56" s="47" t="n">
        <x:v>28.700000762939453</x:v>
      </x:c>
      <x:c r="G56" s="47" t="n">
        <x:v>69.22000122070312</x:v>
      </x:c>
      <x:c r="H56" s="46" t="n">
        <x:v>6279.35009765625</x:v>
      </x:c>
      <x:c r="I56" s="46" t="n">
        <x:v>20601.099609375</x:v>
      </x:c>
      <x:c r="J56" s="46" t="n">
        <x:v>541.1300048828125</x:v>
      </x:c>
    </x:row>
    <x:row r="57">
      <x:c r="A57" s="18" t="n">
        <x:v>45849</x:v>
      </x:c>
      <x:c r="B57" s="45" t="n">
        <x:v>242</x:v>
      </x:c>
      <x:c r="C57" s="46" t="n">
        <x:v>7829.2900390625</x:v>
      </x:c>
      <x:c r="D57" s="47" t="n">
        <x:v>53.650001525878906</x:v>
      </x:c>
      <x:c r="E57" s="47" t="n">
        <x:v>44.72999954223633</x:v>
      </x:c>
      <x:c r="F57" s="47" t="n">
        <x:v>28.81999969482422</x:v>
      </x:c>
      <x:c r="G57" s="47" t="n">
        <x:v>67.13999938964844</x:v>
      </x:c>
      <x:c r="H57" s="46" t="n">
        <x:v>6259.75</x:v>
      </x:c>
      <x:c r="I57" s="46" t="n">
        <x:v>20585.529296875</x:v>
      </x:c>
      <x:c r="J57" s="46" t="n">
        <x:v>547.3400268554688</x:v>
      </x:c>
    </x:row>
    <x:row r="58">
      <x:c r="A58" s="18" t="n">
        <x:v>45856</x:v>
      </x:c>
      <x:c r="B58" s="45" t="n">
        <x:v>229</x:v>
      </x:c>
      <x:c r="C58" s="46" t="n">
        <x:v>7822.669921875</x:v>
      </x:c>
      <x:c r="D58" s="47" t="n">
        <x:v>56.560001373291016</x:v>
      </x:c>
      <x:c r="E58" s="47" t="n">
        <x:v>45.86000061035156</x:v>
      </x:c>
      <x:c r="F58" s="47" t="n">
        <x:v>30.610000610351562</x:v>
      </x:c>
      <x:c r="G58" s="47" t="n">
        <x:v>66.51000213623047</x:v>
      </x:c>
      <x:c r="H58" s="46" t="n">
        <x:v>6296.7900390625</x:v>
      </x:c>
      <x:c r="I58" s="46" t="n">
        <x:v>20895.650390625</x:v>
      </x:c>
      <x:c r="J58" s="46" t="n">
        <x:v>547</x:v>
      </x:c>
    </x:row>
    <x:row r="59">
      <x:c r="A59" s="18" t="n">
        <x:v>45863</x:v>
      </x:c>
      <x:c r="B59" s="45" t="n">
        <x:v>229</x:v>
      </x:c>
      <x:c r="C59" s="46" t="n">
        <x:v>7834.580078125</x:v>
      </x:c>
      <x:c r="D59" s="47" t="n">
        <x:v>56</x:v>
      </x:c>
      <x:c r="E59" s="47" t="n">
        <x:v>45.91999816894531</x:v>
      </x:c>
      <x:c r="F59" s="47" t="n">
        <x:v>30.799999237060547</x:v>
      </x:c>
      <x:c r="G59" s="47" t="n">
        <x:v>67.98999786376953</x:v>
      </x:c>
      <x:c r="H59" s="46" t="n">
        <x:v>6388.64013671875</x:v>
      </x:c>
      <x:c r="I59" s="46" t="n">
        <x:v>21108.3203125</x:v>
      </x:c>
      <x:c r="J59" s="46" t="n">
        <x:v>549.9500122070312</x:v>
      </x:c>
    </x:row>
    <x:row r="60">
      <x:c r="A60" s="18" t="n">
        <x:v>45870</x:v>
      </x:c>
      <x:c r="B60" s="45" t="n">
        <x:v>218</x:v>
      </x:c>
      <x:c r="C60" s="46" t="n">
        <x:v>7546.16015625</x:v>
      </x:c>
      <x:c r="D60" s="47" t="n">
        <x:v>52.93000030517578</x:v>
      </x:c>
      <x:c r="E60" s="47" t="n">
        <x:v>41.72999954223633</x:v>
      </x:c>
      <x:c r="F60" s="47" t="n">
        <x:v>27.149999618530273</x:v>
      </x:c>
      <x:c r="G60" s="47" t="n">
        <x:v>84.30000305175781</x:v>
      </x:c>
      <x:c r="H60" s="46" t="n">
        <x:v>6238.009765625</x:v>
      </x:c>
      <x:c r="I60" s="46" t="n">
        <x:v>20650.130859375</x:v>
      </x:c>
      <x:c r="J60" s="46" t="n">
        <x:v>546.1099853515625</x:v>
      </x:c>
    </x:row>
    <x:row r="61">
      <x:c r="A61" s="18" t="n">
        <x:v>45877</x:v>
      </x:c>
      <x:c r="B61" s="45" t="n">
        <x:v>212</x:v>
      </x:c>
      <x:c r="C61" s="46" t="n">
        <x:v>7743</x:v>
      </x:c>
      <x:c r="D61" s="47" t="n">
        <x:v>48.349998474121094</x:v>
      </x:c>
      <x:c r="E61" s="47" t="n">
        <x:v>40.7400016784668</x:v>
      </x:c>
      <x:c r="F61" s="47" t="n">
        <x:v>26.190000534057617</x:v>
      </x:c>
      <x:c r="G61" s="47" t="n">
        <x:v>73.55999755859375</x:v>
      </x:c>
      <x:c r="H61" s="46" t="n">
        <x:v>6389.4501953125</x:v>
      </x:c>
      <x:c r="I61" s="46" t="n">
        <x:v>21450.01953125</x:v>
      </x:c>
      <x:c r="J61" s="46" t="n">
        <x:v>547.0800170898438</x:v>
      </x:c>
    </x:row>
    <x:row r="62">
      <x:c r="A62" s="18" t="n">
        <x:v>45884</x:v>
      </x:c>
      <x:c r="B62" s="45" t="n">
        <x:v>208</x:v>
      </x:c>
      <x:c r="C62" s="46" t="n">
        <x:v>7923.4501953125</x:v>
      </x:c>
      <x:c r="D62" s="47" t="n">
        <x:v>50.83000183105469</x:v>
      </x:c>
      <x:c r="E62" s="47" t="n">
        <x:v>40.439998626708984</x:v>
      </x:c>
      <x:c r="F62" s="47" t="n">
        <x:v>27.75</x:v>
      </x:c>
      <x:c r="G62" s="47" t="n">
        <x:v>74.75</x:v>
      </x:c>
      <x:c r="H62" s="46" t="n">
        <x:v>6449.7998046875</x:v>
      </x:c>
      <x:c r="I62" s="46" t="n">
        <x:v>21622.98046875</x:v>
      </x:c>
      <x:c r="J62" s="46" t="n">
        <x:v>553.5599975585938</x:v>
      </x:c>
    </x:row>
    <x:row r="63">
      <x:c r="A63" s="18" t="n">
        <x:v>45891</x:v>
      </x:c>
      <x:c r="B63" s="45" t="n">
        <x:v>213</x:v>
      </x:c>
      <x:c r="C63" s="46" t="n">
        <x:v>7969.68994140625</x:v>
      </x:c>
      <x:c r="D63" s="47" t="n">
        <x:v>53.97999954223633</x:v>
      </x:c>
      <x:c r="E63" s="47" t="n">
        <x:v>42.290000915527344</x:v>
      </x:c>
      <x:c r="F63" s="47" t="n">
        <x:v>29.079999923706055</x:v>
      </x:c>
      <x:c r="G63" s="47" t="n">
        <x:v>79.9800033569336</x:v>
      </x:c>
      <x:c r="H63" s="46" t="n">
        <x:v>6466.91015625</x:v>
      </x:c>
      <x:c r="I63" s="46" t="n">
        <x:v>21496.5390625</x:v>
      </x:c>
      <x:c r="J63" s="46" t="n">
        <x:v>561.2999877929688</x:v>
      </x:c>
    </x:row>
    <x:row r="64">
      <x:c r="A64" s="18" t="n">
        <x:v>45898</x:v>
      </x:c>
      <x:c r="B64" s="45" t="n">
        <x:v>226</x:v>
      </x:c>
      <x:c r="C64" s="46" t="n">
        <x:v>7703.89990234375</x:v>
      </x:c>
      <x:c r="D64" s="47" t="n">
        <x:v>54.369998931884766</x:v>
      </x:c>
      <x:c r="E64" s="47" t="n">
        <x:v>46.41999816894531</x:v>
      </x:c>
      <x:c r="F64" s="47" t="n">
        <x:v>32.11000061035156</x:v>
      </x:c>
      <x:c r="G64" s="47" t="n">
        <x:v>82.23999786376953</x:v>
      </x:c>
      <x:c r="H64" s="46" t="n">
        <x:v>6460.259765625</x:v>
      </x:c>
      <x:c r="I64" s="46" t="n">
        <x:v>21455.55078125</x:v>
      </x:c>
      <x:c r="J64" s="46" t="n">
        <x:v>550.1400146484375</x:v>
      </x:c>
    </x:row>
    <x:row r="65">
      <x:c r="A65" s="18" t="n">
        <x:v>45905</x:v>
      </x:c>
      <x:c r="B65" s="45" t="n">
        <x:v>205</x:v>
      </x:c>
      <x:c r="C65" s="46" t="n">
        <x:v>7674.77978515625</x:v>
      </x:c>
      <x:c r="D65" s="47" t="n">
        <x:v>53.61000061035156</x:v>
      </x:c>
      <x:c r="E65" s="47" t="n">
        <x:v>51.540000915527344</x:v>
      </x:c>
      <x:c r="F65" s="47" t="n">
        <x:v>30.399999618530273</x:v>
      </x:c>
      <x:c r="G65" s="47" t="n">
        <x:v>79.93000030517578</x:v>
      </x:c>
      <x:c r="H65" s="46" t="n">
        <x:v>6481.5</x:v>
      </x:c>
      <x:c r="I65" s="46" t="n">
        <x:v>21700.390625</x:v>
      </x:c>
      <x:c r="J65" s="46" t="n">
        <x:v>549.2100219726562</x:v>
      </x:c>
    </x:row>
    <x:row r="66">
      <x:c r="A66" s="18" t="n">
        <x:v>45912</x:v>
      </x:c>
      <x:c r="B66" s="45" t="n">
        <x:v>206</x:v>
      </x:c>
      <x:c r="C66" s="46" t="n">
        <x:v>7825.240234375</x:v>
      </x:c>
      <x:c r="D66" s="47" t="n">
        <x:v>54.290000915527344</x:v>
      </x:c>
      <x:c r="E66" s="47" t="n">
        <x:v>51.06999969482422</x:v>
      </x:c>
      <x:c r="F66" s="47" t="n">
        <x:v>30.09000015258789</x:v>
      </x:c>
      <x:c r="G66" s="47" t="n">
        <x:v>77.4800033569336</x:v>
      </x:c>
      <x:c r="H66" s="46" t="n">
        <x:v>6584.2900390625</x:v>
      </x:c>
      <x:c r="I66" s="46" t="n">
        <x:v>22141.099609375</x:v>
      </x:c>
      <x:c r="J66" s="46" t="n">
        <x:v>554.8400268554688</x:v>
      </x:c>
    </x:row>
    <x:row r="67">
      <x:c r="A67" s="18" t="n">
        <x:v>45919</x:v>
      </x:c>
      <x:c r="B67" s="45" t="n">
        <x:v>231</x:v>
      </x:c>
      <x:c r="C67" s="46" t="n">
        <x:v>7853.58984375</x:v>
      </x:c>
      <x:c r="D67" s="47" t="n">
        <x:v>53.0099983215332</x:v>
      </x:c>
      <x:c r="E67" s="47" t="n">
        <x:v>52.34000015258789</x:v>
      </x:c>
      <x:c r="F67" s="47" t="n">
        <x:v>29.6299991607666</x:v>
      </x:c>
      <x:c r="G67" s="47" t="n">
        <x:v>79.66000366210938</x:v>
      </x:c>
      <x:c r="H67" s="46" t="n">
        <x:v>6664.35986328125</x:v>
      </x:c>
      <x:c r="I67" s="46" t="n">
        <x:v>22631.48046875</x:v>
      </x:c>
      <x:c r="J67" s="46" t="n">
        <x:v>554.1199951171875</x:v>
      </x:c>
    </x:row>
    <x:row r="68">
      <x:c r="A68" s="18" t="n">
        <x:v>45926</x:v>
      </x:c>
      <x:c r="B68" s="45" t="n">
        <x:v>234</x:v>
      </x:c>
      <x:c r="C68" s="46" t="n">
        <x:v>7870.68017578125</x:v>
      </x:c>
      <x:c r="D68" s="47" t="n">
        <x:v>52.84000015258789</x:v>
      </x:c>
      <x:c r="E68" s="47" t="n">
        <x:v>54.18000030517578</x:v>
      </x:c>
      <x:c r="F68" s="47" t="n">
        <x:v>27.979999542236328</x:v>
      </x:c>
      <x:c r="G68" s="47" t="n">
        <x:v>85.79000091552734</x:v>
      </x:c>
      <x:c r="H68" s="46" t="n">
        <x:v>6643.7001953125</x:v>
      </x:c>
      <x:c r="I68" s="46" t="n">
        <x:v>22484.0703125</x:v>
      </x:c>
      <x:c r="J68" s="46" t="n">
        <x:v>554.52001953125</x:v>
      </x:c>
    </x:row>
    <x:row r="69">
      <x:c r="A69" s="18" t="n">
        <x:v>45933</x:v>
      </x:c>
      <x:c r="B69" s="45" t="n">
        <x:v>245</x:v>
      </x:c>
      <x:c r="C69" s="46" t="n">
        <x:v>8081.5400390625</x:v>
      </x:c>
      <x:c r="D69" s="47" t="n">
        <x:v>51.61000061035156</x:v>
      </x:c>
      <x:c r="E69" s="47" t="n">
        <x:v>53.34000015258789</x:v>
      </x:c>
      <x:c r="F69" s="47" t="n">
        <x:v>26.229999542236328</x:v>
      </x:c>
      <x:c r="G69" s="47" t="n">
        <x:v>87.80000305175781</x:v>
      </x:c>
      <x:c r="H69" s="46" t="n">
        <x:v>6715.7900390625</x:v>
      </x:c>
      <x:c r="I69" s="46" t="n">
        <x:v>22780.509765625</x:v>
      </x:c>
      <x:c r="J69" s="46" t="n">
        <x:v>570.4500122070312</x:v>
      </x:c>
    </x:row>
    <x:row r="70">
      <x:c r="A70" s="18" t="n">
        <x:v>45940</x:v>
      </x:c>
      <x:c r="B70" s="45" t="n">
        <x:v>239</x:v>
      </x:c>
      <x:c r="C70" s="46" t="n">
        <x:v>7918</x:v>
      </x:c>
      <x:c r="D70" s="47" t="n">
        <x:v>49.09000015258789</x:v>
      </x:c>
      <x:c r="E70" s="47" t="n">
        <x:v>49.34000015258789</x:v>
      </x:c>
      <x:c r="F70" s="47" t="n">
        <x:v>25.020000457763672</x:v>
      </x:c>
      <x:c r="G70" s="47" t="n">
        <x:v>86.95999908447266</x:v>
      </x:c>
      <x:c r="H70" s="46" t="n">
        <x:v>6552.509765625</x:v>
      </x:c>
      <x:c r="I70" s="46" t="n">
        <x:v>22204.4296875</x:v>
      </x:c>
      <x:c r="J70" s="46" t="n">
        <x:v>564.1599731445312</x:v>
      </x:c>
    </x:row>
    <x:row r="71">
      <x:c r="A71" s="18" t="n">
        <x:v>45947</x:v>
      </x:c>
      <x:c r="B71" s="45" t="n">
        <x:v>258</x:v>
      </x:c>
      <x:c r="C71" s="46" t="n">
        <x:v>8174.2001953125</x:v>
      </x:c>
      <x:c r="D71" s="47" t="n">
        <x:v>49.81999969482422</x:v>
      </x:c>
      <x:c r="E71" s="47" t="n">
        <x:v>51.08000183105469</x:v>
      </x:c>
      <x:c r="F71" s="47" t="n">
        <x:v>23.760000228881836</x:v>
      </x:c>
      <x:c r="G71" s="47" t="n">
        <x:v>87.79000091552734</x:v>
      </x:c>
      <x:c r="H71" s="46" t="n">
        <x:v>6664.009765625</x:v>
      </x:c>
      <x:c r="I71" s="46" t="n">
        <x:v>22679.970703125</x:v>
      </x:c>
      <x:c r="J71" s="46" t="n">
        <x:v>566.239990234375</x:v>
      </x:c>
    </x:row>
    <x:row r="72">
      <x:c r="A72" s="18" t="n">
        <x:v>45954</x:v>
      </x:c>
      <x:c r="B72" s="45" t="n">
        <x:v>239</x:v>
      </x:c>
      <x:c r="C72" s="46" t="n">
        <x:v>8225.6298828125</x:v>
      </x:c>
      <x:c r="D72" s="47" t="n">
        <x:v>52.560001373291016</x:v>
      </x:c>
      <x:c r="E72" s="47" t="n">
        <x:v>51.209999084472656</x:v>
      </x:c>
      <x:c r="F72" s="47" t="n">
        <x:v>26.06999969482422</x:v>
      </x:c>
      <x:c r="G72" s="47" t="n">
        <x:v>89.19000244140625</x:v>
      </x:c>
      <x:c r="H72" s="46" t="n">
        <x:v>6791.68994140625</x:v>
      </x:c>
      <x:c r="I72" s="46" t="n">
        <x:v>23204.869140625</x:v>
      </x:c>
      <x:c r="J72" s="46" t="n">
        <x:v>575.760009765625</x:v>
      </x:c>
    </x:row>
    <x:row r="73">
      <x:c r="A73" s="18" t="n">
        <x:v>45961</x:v>
      </x:c>
      <x:c r="B73" s="45" t="n">
        <x:v>230</x:v>
      </x:c>
      <x:c r="C73" s="46" t="n">
        <x:v>8121.06982421875</x:v>
      </x:c>
      <x:c r="D73" s="47" t="n">
        <x:v>57.25</x:v>
      </x:c>
      <x:c r="E73" s="47" t="n">
        <x:v>49.65999984741211</x:v>
      </x:c>
      <x:c r="F73" s="47" t="n">
        <x:v>26.68000030517578</x:v>
      </x:c>
      <x:c r="G73" s="47" t="n">
        <x:v>85.01000213623047</x:v>
      </x:c>
      <x:c r="H73" s="46" t="n">
        <x:v>6840.2001953125</x:v>
      </x:c>
      <x:c r="I73" s="46" t="n">
        <x:v>23724.9609375</x:v>
      </x:c>
      <x:c r="J73" s="46" t="n">
        <x:v>571.8900146484375</x:v>
      </x:c>
    </x:row>
    <x:row r="74">
      <x:c r="A74" s="18" t="n">
        <x:v>45968</x:v>
      </x:c>
      <x:c r="B74" s="45" t="n">
        <x:v>226</x:v>
      </x:c>
      <x:c r="C74" s="46" t="n">
        <x:v>7950.18017578125</x:v>
      </x:c>
      <x:c r="D74" s="47" t="n">
        <x:v>53.58000183105469</x:v>
      </x:c>
      <x:c r="E74" s="47" t="n">
        <x:v>45.59000015258789</x:v>
      </x:c>
      <x:c r="F74" s="47" t="n">
        <x:v>26.059999465942383</x:v>
      </x:c>
      <x:c r="G74" s="47" t="n">
        <x:v>89</x:v>
      </x:c>
      <x:c r="H74" s="46" t="n">
        <x:v>6728.7998046875</x:v>
      </x:c>
      <x:c r="I74" s="46" t="n">
        <x:v>23004.5390625</x:v>
      </x:c>
      <x:c r="J74" s="46" t="n">
        <x:v>564.7899780273438</x:v>
      </x:c>
    </x:row>
    <x:row r="75">
      <x:c r="A75" s="18" t="n">
        <x:v>45975</x:v>
      </x:c>
      <x:c r="B75" s="45" t="n">
        <x:v>247</x:v>
      </x:c>
      <x:c r="C75" s="46" t="n">
        <x:v>8170.08984375</x:v>
      </x:c>
      <x:c r="D75" s="47" t="n">
        <x:v>54.66999816894531</x:v>
      </x:c>
      <x:c r="E75" s="47" t="n">
        <x:v>50.349998474121094</x:v>
      </x:c>
      <x:c r="F75" s="47" t="n">
        <x:v>25.520000457763672</x:v>
      </x:c>
      <x:c r="G75" s="47" t="n">
        <x:v>91.02999877929688</x:v>
      </x:c>
      <x:c r="H75" s="46" t="n">
        <x:v>6734.10986328125</x:v>
      </x:c>
      <x:c r="I75" s="46" t="n">
        <x:v>22900.58984375</x:v>
      </x:c>
      <x:c r="J75" s="46" t="n">
        <x:v>574.8099975585938</x:v>
      </x:c>
    </x:row>
    <x:row r="76">
      <x:c r="A76" s="18" t="n">
        <x:v>45982</x:v>
      </x:c>
      <x:c r="B76" s="45" t="n">
        <x:v>246</x:v>
      </x:c>
      <x:c r="C76" s="46" t="n">
        <x:v>7982.64990234375</x:v>
      </x:c>
      <x:c r="D76" s="47" t="n">
        <x:v>54.86000061035156</x:v>
      </x:c>
      <x:c r="E76" s="47" t="n">
        <x:v>48.189998626708984</x:v>
      </x:c>
      <x:c r="F76" s="47" t="n">
        <x:v>24.389999389648438</x:v>
      </x:c>
      <x:c r="G76" s="47" t="n">
        <x:v>90.51000213623047</x:v>
      </x:c>
      <x:c r="H76" s="46" t="n">
        <x:v>6602.990234375</x:v>
      </x:c>
      <x:c r="I76" s="46" t="n">
        <x:v>22273.080078125</x:v>
      </x:c>
      <x:c r="J76" s="46" t="n">
        <x:v>562.0999755859375</x:v>
      </x:c>
    </x:row>
    <x:row r="77">
      <x:c r="A77" s="18" t="n">
        <x:v>45989</x:v>
      </x:c>
      <x:c r="B77" s="45" t="n">
        <x:v>247</x:v>
      </x:c>
      <x:c r="C77" s="46" t="n">
        <x:v>8122.7099609375</x:v>
      </x:c>
      <x:c r="D77" s="47" t="n">
        <x:v>56.9900016784668</x:v>
      </x:c>
      <x:c r="E77" s="47" t="n">
        <x:v>50.150001525878906</x:v>
      </x:c>
      <x:c r="F77" s="47" t="n">
        <x:v>24.700000762939453</x:v>
      </x:c>
      <x:c r="G77" s="47" t="n">
        <x:v>92.55999755859375</x:v>
      </x:c>
      <x:c r="H77" s="46" t="n">
        <x:v>6849.08984375</x:v>
      </x:c>
      <x:c r="I77" s="46" t="n">
        <x:v>23365.689453125</x:v>
      </x:c>
      <x:c r="J77" s="46" t="n">
        <x:v>576.4299926757812</x:v>
      </x:c>
    </x:row>
    <x:row r="78">
      <x:c r="A78" s="18" t="n">
        <x:v>45996</x:v>
      </x:c>
      <x:c r="B78" s="45" t="n">
        <x:v>247</x:v>
      </x:c>
      <x:c r="C78" s="46" t="n">
        <x:v>8114.740234375</x:v>
      </x:c>
      <x:c r="D78" s="47" t="n">
        <x:v>57.9900016784668</x:v>
      </x:c>
      <x:c r="E78" s="47" t="n">
        <x:v>53.45000076293945</x:v>
      </x:c>
      <x:c r="F78" s="47" t="n">
        <x:v>23.389999389648438</x:v>
      </x:c>
      <x:c r="G78" s="47" t="n">
        <x:v>92.37000274658203</x:v>
      </x:c>
      <x:c r="H78" s="46" t="n">
        <x:v>6870.39990234375</x:v>
      </x:c>
      <x:c r="I78" s="46" t="n">
        <x:v>23578.130859375</x:v>
      </x:c>
      <x:c r="J78" s="46" t="n">
        <x:v>578.77001953125</x:v>
      </x:c>
    </x:row>
    <x:row r="79">
      <x:c r="A79" s="18" t="n">
        <x:v>46003</x:v>
      </x:c>
      <x:c r="B79" s="45" t="n">
        <x:v>261</x:v>
      </x:c>
      <x:c r="C79" s="46" t="n">
        <x:v>8068.6201171875</x:v>
      </x:c>
      <x:c r="D79" s="47" t="n">
        <x:v>58.66999816894531</x:v>
      </x:c>
      <x:c r="E79" s="47" t="n">
        <x:v>54.54999923706055</x:v>
      </x:c>
      <x:c r="F79" s="47" t="n">
        <x:v>25.469999313354492</x:v>
      </x:c>
      <x:c r="G79" s="47" t="n">
        <x:v>87.33000183105469</x:v>
      </x:c>
      <x:c r="H79" s="46" t="n">
        <x:v>6827.41015625</x:v>
      </x:c>
      <x:c r="I79" s="46" t="n">
        <x:v>23195.169921875</x:v>
      </x:c>
      <x:c r="J79" s="46" t="n">
        <x:v>578.239990234375</x:v>
      </x:c>
    </x:row>
    <x:row r="80">
      <x:c r="A80" s="18" t="n">
        <x:v>46010</x:v>
      </x:c>
      <x:c r="B80" s="45" t="n">
        <x:v>244</x:v>
      </x:c>
      <x:c r="C80" s="46" t="n">
        <x:v>8151.3798828125</x:v>
      </x:c>
      <x:c r="D80" s="47" t="n">
        <x:v>57.84000015258789</x:v>
      </x:c>
      <x:c r="E80" s="47" t="n">
        <x:v>55.97999954223633</x:v>
      </x:c>
      <x:c r="F80" s="47" t="n">
        <x:v>25.68000030517578</x:v>
      </x:c>
      <x:c r="G80" s="47" t="n">
        <x:v>87.93000030517578</x:v>
      </x:c>
      <x:c r="H80" s="46" t="n">
        <x:v>6834.5</x:v>
      </x:c>
      <x:c r="I80" s="46" t="n">
        <x:v>23307.619140625</x:v>
      </x:c>
      <x:c r="J80" s="46" t="n">
        <x:v>587.5</x:v>
      </x:c>
    </x:row>
    <x:row r="81">
      <x:c r="A81" s="18" t="n">
        <x:v>46017</x:v>
      </x:c>
      <x:c r="B81" s="45" t="n">
        <x:v>239</x:v>
      </x:c>
      <x:c r="C81" s="46" t="n">
        <x:v>8103.580078125</x:v>
      </x:c>
      <x:c r="D81" s="47" t="n">
        <x:v>57.7599983215332</x:v>
      </x:c>
      <x:c r="E81" s="47" t="n">
        <x:v>55.22999954223633</x:v>
      </x:c>
      <x:c r="F81" s="47" t="n">
        <x:v>26.290000915527344</x:v>
      </x:c>
      <x:c r="G81" s="47" t="n">
        <x:v>87.44999694824219</x:v>
      </x:c>
      <x:c r="H81" s="46" t="n">
        <x:v>6929.93994140625</x:v>
      </x:c>
      <x:c r="I81" s="46" t="n">
        <x:v>23593.099609375</x:v>
      </x:c>
      <x:c r="J81" s="46" t="n">
        <x:v>588.72998046875</x:v>
      </x:c>
    </x:row>
    <x:row r="82">
      <x:c r="A82" s="18" t="n">
        <x:v>46024</x:v>
      </x:c>
      <x:c r="B82" s="45" t="n">
        <x:v>243</x:v>
      </x:c>
      <x:c r="C82" s="46" t="n">
        <x:v>8195.2099609375</x:v>
      </x:c>
      <x:c r="D82" s="47" t="n">
        <x:v>53.779998779296875</x:v>
      </x:c>
      <x:c r="E82" s="47" t="n">
        <x:v>50.560001373291016</x:v>
      </x:c>
      <x:c r="F82" s="47" t="n">
        <x:v>24.649999618530273</x:v>
      </x:c>
      <x:c r="G82" s="47" t="n">
        <x:v>82.97000122070312</x:v>
      </x:c>
      <x:c r="H82" s="46" t="n">
        <x:v>6858.47021484375</x:v>
      </x:c>
      <x:c r="I82" s="46" t="n">
        <x:v>23235.630859375</x:v>
      </x:c>
      <x:c r="J82" s="46" t="n">
        <x:v>592.780029296875</x:v>
      </x:c>
    </x:row>
    <x:row r="83">
      <x:c r="A83" s="18" t="n">
        <x:v>46031</x:v>
      </x:c>
      <x:c r="B83" s="45" t="n">
        <x:v>230</x:v>
      </x:c>
      <x:c r="C83" s="46" t="n">
        <x:v>8362.08984375</x:v>
      </x:c>
      <x:c r="D83" s="47" t="n">
        <x:v>56.59000015258789</x:v>
      </x:c>
      <x:c r="E83" s="47" t="n">
        <x:v>54.47999954223633</x:v>
      </x:c>
      <x:c r="F83" s="47" t="n">
        <x:v>25.600000381469727</x:v>
      </x:c>
      <x:c r="G83" s="47" t="n">
        <x:v>89.51000213623047</x:v>
      </x:c>
      <x:c r="H83" s="46" t="n">
        <x:v>6966.27978515625</x:v>
      </x:c>
      <x:c r="I83" s="46" t="n">
        <x:v>23671.349609375</x:v>
      </x:c>
      <x:c r="J83" s="46" t="n">
        <x:v>609.6699829101562</x:v>
      </x:c>
    </x:row>
    <x:row r="84">
      <x:c r="A84" s="18" t="n">
        <x:v>46038</x:v>
      </x:c>
      <x:c r="B84" s="45" t="n">
        <x:v>213</x:v>
      </x:c>
      <x:c r="C84" s="46" t="n">
        <x:v>8258.9404296875</x:v>
      </x:c>
      <x:c r="D84" s="47" t="n">
        <x:v>52.650001525878906</x:v>
      </x:c>
      <x:c r="E84" s="47" t="n">
        <x:v>46.599998474121094</x:v>
      </x:c>
      <x:c r="F84" s="47" t="n">
        <x:v>24.25</x:v>
      </x:c>
      <x:c r="G84" s="47" t="n">
        <x:v>85.72000122070312</x:v>
      </x:c>
      <x:c r="H84" s="46" t="n">
        <x:v>6940.009765625</x:v>
      </x:c>
      <x:c r="I84" s="46" t="n">
        <x:v>23515.390625</x:v>
      </x:c>
      <x:c r="J84" s="46" t="n">
        <x:v>614.3800048828125</x:v>
      </x:c>
    </x:row>
    <x:row r="85">
      <x:c r="A85" s="18" t="n">
        <x:v>46045</x:v>
      </x:c>
      <x:c r="B85" s="45" t="n">
        <x:v>182</x:v>
      </x:c>
      <x:c r="C85" s="46" t="n">
        <x:v>8143.0498046875</x:v>
      </x:c>
      <x:c r="D85" s="47" t="n">
        <x:v>53.08000183105469</x:v>
      </x:c>
      <x:c r="E85" s="47" t="n">
        <x:v>48.45000076293945</x:v>
      </x:c>
      <x:c r="F85" s="47" t="n">
        <x:v>24.299999237060547</x:v>
      </x:c>
      <x:c r="G85" s="47" t="n">
        <x:v>81.44000244140625</x:v>
      </x:c>
      <x:c r="H85" s="46" t="n">
        <x:v>6915.60986328125</x:v>
      </x:c>
      <x:c r="I85" s="46" t="n">
        <x:v>23501.240234375</x:v>
      </x:c>
      <x:c r="J85" s="46" t="n">
        <x:v>608.3400268554688</x:v>
      </x:c>
    </x:row>
    <x:row r="86">
      <x:c r="A86" s="18" t="n">
        <x:v>46052</x:v>
      </x:c>
      <x:c r="B86" s="45" t="n">
        <x:v>155.5</x:v>
      </x:c>
      <x:c r="C86" s="46" t="n">
        <x:v>8126.52978515625</x:v>
      </x:c>
      <x:c r="D86" s="47" t="n">
        <x:v>46.470001220703125</x:v>
      </x:c>
      <x:c r="E86" s="47" t="n">
        <x:v>43.16999816894531</x:v>
      </x:c>
      <x:c r="F86" s="47" t="n">
        <x:v>21.350000381469727</x:v>
      </x:c>
      <x:c r="G86" s="47" t="n">
        <x:v>77.0199966430664</x:v>
      </x:c>
      <x:c r="H86" s="46" t="n">
        <x:v>6939.02978515625</x:v>
      </x:c>
      <x:c r="I86" s="46" t="n">
        <x:v>23461.8203125</x:v>
      </x:c>
      <x:c r="J86" s="46" t="n">
        <x:v>611</x:v>
      </x:c>
    </x:row>
    <x:row r="87">
      <x:c r="A87" s="18" t="n">
        <x:v>46059</x:v>
      </x:c>
      <x:c r="B87" s="45" t="n">
        <x:v>141</x:v>
      </x:c>
      <x:c r="C87" s="46" t="n">
        <x:v>8273.83984375</x:v>
      </x:c>
      <x:c r="D87" s="47" t="n">
        <x:v>43.849998474121094</x:v>
      </x:c>
      <x:c r="E87" s="47" t="n">
        <x:v>48.939998626708984</x:v>
      </x:c>
      <x:c r="F87" s="47" t="n">
        <x:v>18.149999618530273</x:v>
      </x:c>
      <x:c r="G87" s="47" t="n">
        <x:v>69.8499984741211</x:v>
      </x:c>
      <x:c r="H87" s="46" t="n">
        <x:v>6932.2998046875</x:v>
      </x:c>
      <x:c r="I87" s="46" t="n">
        <x:v>23031.2109375</x:v>
      </x:c>
      <x:c r="J87" s="46" t="n">
        <x:v>617.1199951171875</x:v>
      </x:c>
    </x:row>
    <x:row r="88">
      <x:c r="A88" s="18" t="n">
        <x:v>46066</x:v>
      </x:c>
      <x:c r="B88" s="45" t="n">
        <x:v>124</x:v>
      </x:c>
      <x:c r="C88" s="46" t="n">
        <x:v>8311.740234375</x:v>
      </x:c>
      <x:c r="D88" s="47" t="n">
        <x:v>38.61000061035156</x:v>
      </x:c>
      <x:c r="E88" s="47" t="n">
        <x:v>46.9900016784668</x:v>
      </x:c>
      <x:c r="F88" s="47" t="n">
        <x:v>16.139999389648438</x:v>
      </x:c>
      <x:c r="G88" s="47" t="n">
        <x:v>61.93000030517578</x:v>
      </x:c>
      <x:c r="H88" s="46" t="n">
        <x:v>6836.169921875</x:v>
      </x:c>
      <x:c r="I88" s="46" t="n">
        <x:v>22546.669921875</x:v>
      </x:c>
      <x:c r="J88" s="46" t="n">
        <x:v>617.7000122070312</x:v>
      </x:c>
    </x:row>
    <x:row r="89">
      <x:c r="A89" s="18" t="n">
        <x:v>46073</x:v>
      </x:c>
      <x:c r="B89" s="45" t="n">
        <x:v>119.5</x:v>
      </x:c>
      <x:c r="C89" s="46" t="n">
        <x:v>8515.490234375</x:v>
      </x:c>
      <x:c r="D89" s="47" t="n">
        <x:v>36.150001525878906</x:v>
      </x:c>
      <x:c r="E89" s="47" t="n">
        <x:v>46.20000076293945</x:v>
      </x:c>
      <x:c r="F89" s="47" t="n">
        <x:v>15.619999885559082</x:v>
      </x:c>
      <x:c r="G89" s="47" t="n">
        <x:v>61.43000030517578</x:v>
      </x:c>
      <x:c r="H89" s="46" t="n">
        <x:v>6909.509765625</x:v>
      </x:c>
      <x:c r="I89" s="46" t="n">
        <x:v>22886.0703125</x:v>
      </x:c>
      <x:c r="J89" s="46" t="n">
        <x:v>630.5599975585938</x:v>
      </x:c>
    </x:row>
    <x:row r="90">
      <x:c r="A90" s="18" t="n">
        <x:v>46080</x:v>
      </x:c>
      <x:c r="B90" s="45" t="n">
        <x:v>115</x:v>
      </x:c>
      <x:c r="C90" s="46" t="n">
        <x:v>8580.75</x:v>
      </x:c>
      <x:c r="D90" s="47" t="n">
        <x:v>35.25</x:v>
      </x:c>
      <x:c r="E90" s="47" t="n">
        <x:v>44.5099983215332</x:v>
      </x:c>
      <x:c r="F90" s="47" t="n">
        <x:v>16.139999389648438</x:v>
      </x:c>
      <x:c r="G90" s="47" t="n">
        <x:v>61.58000183105469</x:v>
      </x:c>
      <x:c r="H90" s="46" t="n">
        <x:v>6878.8798828125</x:v>
      </x:c>
      <x:c r="I90" s="46" t="n">
        <x:v>22668.2109375</x:v>
      </x:c>
      <x:c r="J90" s="46" t="n">
        <x:v>633.8499755859375</x:v>
      </x:c>
    </x:row>
    <x:row r="91">
      <x:c r="A91" s="18" t="n">
        <x:v>46087</x:v>
      </x:c>
      <x:c r="B91" s="45" t="n">
        <x:v>131</x:v>
      </x:c>
      <x:c r="C91" s="46" t="n">
        <x:v>7993.490234375</x:v>
      </x:c>
      <x:c r="D91" s="47" t="n">
        <x:v>37.369998931884766</x:v>
      </x:c>
      <x:c r="E91" s="47" t="n">
        <x:v>45.060001373291016</x:v>
      </x:c>
      <x:c r="F91" s="47" t="n">
        <x:v>16.81999969482422</x:v>
      </x:c>
      <x:c r="G91" s="47" t="n">
        <x:v>64.9000015258789</x:v>
      </x:c>
      <x:c r="H91" s="46" t="n">
        <x:v>6740.02001953125</x:v>
      </x:c>
      <x:c r="I91" s="46" t="n">
        <x:v>22387.6796875</x:v>
      </x:c>
      <x:c r="J91" s="46" t="n">
        <x:v>598.6900024414062</x:v>
      </x:c>
    </x:row>
    <x:row r="92">
      <x:c r="A92" s="18" t="n">
        <x:v>46094</x:v>
      </x:c>
      <x:c r="B92" s="45" t="n">
        <x:v>141</x:v>
      </x:c>
      <x:c r="C92" s="46" t="n">
        <x:v>7911.52978515625</x:v>
      </x:c>
      <x:c r="D92" s="47" t="n">
        <x:v>36.880001068115234</x:v>
      </x:c>
      <x:c r="E92" s="47" t="n">
        <x:v>39.790000915527344</x:v>
      </x:c>
      <x:c r="F92" s="47" t="n">
        <x:v>15.069999694824219</x:v>
      </x:c>
      <x:c r="G92" s="47" t="n">
        <x:v>61.59000015258789</x:v>
      </x:c>
      <x:c r="H92" s="46" t="n">
        <x:v>6632.18994140625</x:v>
      </x:c>
      <x:c r="I92" s="46" t="n">
        <x:v>22105.359375</x:v>
      </x:c>
      <x:c r="J92" s="46" t="n">
        <x:v>595.8499755859375</x:v>
      </x:c>
    </x:row>
    <x:row r="93">
      <x:c r="A93" s="18" t="n">
        <x:v>46101</x:v>
      </x:c>
      <x:c r="B93" s="45" t="n">
        <x:v>140.5</x:v>
      </x:c>
      <x:c r="C93" s="46" t="n">
        <x:v>7665.6201171875</x:v>
      </x:c>
      <x:c r="D93" s="47" t="n">
        <x:v>39.11000061035156</x:v>
      </x:c>
      <x:c r="E93" s="47" t="n">
        <x:v>39.849998474121094</x:v>
      </x:c>
      <x:c r="F93" s="47" t="n">
        <x:v>15.199999809265137</x:v>
      </x:c>
      <x:c r="G93" s="47" t="n">
        <x:v>60.7400016784668</x:v>
      </x:c>
      <x:c r="H93" s="46" t="n">
        <x:v>6506.47998046875</x:v>
      </x:c>
      <x:c r="I93" s="46" t="n">
        <x:v>21647.609375</x:v>
      </x:c>
      <x:c r="J93" s="46" t="n">
        <x:v>573.280029296875</x:v>
      </x:c>
    </x:row>
    <x:row r="94">
      <x:c r="A94" s="18" t="n">
        <x:v>46108</x:v>
      </x:c>
      <x:c r="B94" s="45" t="n">
        <x:v>133</x:v>
      </x:c>
      <x:c r="C94" s="46" t="n">
        <x:v>7701.9501953125</x:v>
      </x:c>
      <x:c r="D94" s="47" t="n">
        <x:v>36.04999923706055</x:v>
      </x:c>
      <x:c r="E94" s="47" t="n">
        <x:v>37</x:v>
      </x:c>
      <x:c r="F94" s="47" t="n">
        <x:v>14.010000228881836</x:v>
      </x:c>
      <x:c r="G94" s="47" t="n">
        <x:v>57.83000183105469</x:v>
      </x:c>
      <x:c r="H94" s="46" t="n">
        <x:v>6368.85009765625</x:v>
      </x:c>
      <x:c r="I94" s="46" t="n">
        <x:v>20948.359375</x:v>
      </x:c>
      <x:c r="J94" s="46" t="n">
        <x:v>575.2999877929688</x:v>
      </x:c>
    </x:row>
    <x:row r="95">
      <x:c r="A95" s="18" t="n">
        <x:v>46115</x:v>
      </x:c>
      <x:c r="B95" s="45" t="n">
        <x:v>151</x:v>
      </x:c>
      <x:c r="C95" s="46" t="n">
        <x:v>7962.39013671875</x:v>
      </x:c>
      <x:c r="D95" s="47" t="n">
        <x:v>36.290000915527344</x:v>
      </x:c>
      <x:c r="E95" s="47" t="n">
        <x:v>38.630001068115234</x:v>
      </x:c>
      <x:c r="F95" s="47" t="n">
        <x:v>17.100000381469727</x:v>
      </x:c>
      <x:c r="G95" s="47" t="n">
        <x:v>60</x:v>
      </x:c>
      <x:c r="H95" s="46" t="n">
        <x:v>6582.68994140625</x:v>
      </x:c>
      <x:c r="I95" s="46" t="n">
        <x:v>21879.1796875</x:v>
      </x:c>
      <x:c r="J95" s="46" t="n">
        <x:v>596.6300048828125</x:v>
      </x:c>
    </x:row>
    <x:row r="96">
      <x:c r="A96" s="18" t="n">
        <x:v>46122</x:v>
      </x:c>
      <x:c r="B96" s="45" t="n">
        <x:v>161</x:v>
      </x:c>
      <x:c r="C96" s="46" t="n">
        <x:v>8259.599609375</x:v>
      </x:c>
      <x:c r="D96" s="47" t="n">
        <x:v>30.290000915527344</x:v>
      </x:c>
      <x:c r="E96" s="47" t="n">
        <x:v>34.709999084472656</x:v>
      </x:c>
      <x:c r="F96" s="47" t="n">
        <x:v>17.450000762939453</x:v>
      </x:c>
      <x:c r="G96" s="47" t="n">
        <x:v>52.36000061035156</x:v>
      </x:c>
      <x:c r="H96" s="46" t="n">
        <x:v>6816.89013671875</x:v>
      </x:c>
      <x:c r="I96" s="46" t="n">
        <x:v>22902.890625</x:v>
      </x:c>
      <x:c r="J96" s="46" t="n">
        <x:v>614.8400268554688</x:v>
      </x:c>
    </x:row>
    <x:row r="97">
      <x:c r="A97" s="18" t="n">
        <x:v>46129</x:v>
      </x:c>
      <x:c r="B97" s="45" t="n">
        <x:v>154</x:v>
      </x:c>
      <x:c r="C97" s="46" t="n">
        <x:v>8425.1298828125</x:v>
      </x:c>
      <x:c r="D97" s="47" t="n">
        <x:v>31.510000228881836</x:v>
      </x:c>
      <x:c r="E97" s="47" t="n">
        <x:v>38.810001373291016</x:v>
      </x:c>
      <x:c r="F97" s="47" t="n">
        <x:v>18.459999084472656</x:v>
      </x:c>
      <x:c r="G97" s="47" t="n">
        <x:v>57.34000015258789</x:v>
      </x:c>
      <x:c r="H97" s="46" t="n">
        <x:v>7126.06005859375</x:v>
      </x:c>
      <x:c r="I97" s="46" t="n">
        <x:v>24468.48046875</x:v>
      </x:c>
      <x:c r="J97" s="46" t="n">
        <x:v>626.5800170898438</x:v>
      </x:c>
    </x:row>
    <x:row r="98">
      <x:c r="A98" s="18" t="n">
        <x:v>46136</x:v>
      </x:c>
      <x:c r="B98" s="45" t="n">
        <x:v>168.8000030517578</x:v>
      </x:c>
      <x:c r="C98" s="46" t="n">
        <x:v>8157.81982421875</x:v>
      </x:c>
      <x:c r="D98" s="47" t="n">
        <x:v>30.639999389648438</x:v>
      </x:c>
      <x:c r="E98" s="47" t="n">
        <x:v>37.189998626708984</x:v>
      </x:c>
      <x:c r="F98" s="47" t="n">
        <x:v>17.68000030517578</x:v>
      </x:c>
      <x:c r="G98" s="47" t="n">
        <x:v>53.150001525878906</x:v>
      </x:c>
      <x:c r="H98" s="46" t="n">
        <x:v>7165.080078125</x:v>
      </x:c>
      <x:c r="I98" s="46" t="n">
        <x:v>24836.599609375</x:v>
      </x:c>
      <x:c r="J98" s="46" t="n">
        <x:v>610.6500244140625</x:v>
      </x:c>
    </x:row>
    <x:row r="99">
      <x:c r="A99" s="18" t="n">
        <x:v>46143</x:v>
      </x:c>
      <x:c r="B99" s="45" t="n">
        <x:v>169</x:v>
      </x:c>
      <x:c r="C99" s="46" t="n">
        <x:v>8114.83984375</x:v>
      </x:c>
      <x:c r="D99" s="47" t="n">
        <x:v>33.90999984741211</x:v>
      </x:c>
      <x:c r="E99" s="47" t="n">
        <x:v>39.06999969482422</x:v>
      </x:c>
      <x:c r="F99" s="47" t="n">
        <x:v>18.1299991607666</x:v>
      </x:c>
      <x:c r="G99" s="47" t="n">
        <x:v>54.7599983215332</x:v>
      </x:c>
      <x:c r="H99" s="46" t="n">
        <x:v>7230.1201171875</x:v>
      </x:c>
      <x:c r="I99" s="46" t="n">
        <x:v>25114.439453125</x:v>
      </x:c>
      <x:c r="J99" s="46" t="n">
        <x:v>611.280029296875</x:v>
      </x:c>
    </x:row>
    <x:row r="100">
      <x:c r="A100" s="18" t="n">
        <x:v>46150</x:v>
      </x:c>
      <x:c r="B100" s="45" t="n">
        <x:v>160.8000030517578</x:v>
      </x:c>
      <x:c r="C100" s="46" t="n">
        <x:v>8112.56982421875</x:v>
      </x:c>
      <x:c r="D100" s="47" t="n">
        <x:v>30.6299991607666</x:v>
      </x:c>
      <x:c r="E100" s="47" t="n">
        <x:v>41.83000183105469</x:v>
      </x:c>
      <x:c r="F100" s="47" t="n">
        <x:v>17.75</x:v>
      </x:c>
      <x:c r="G100" s="47" t="n">
        <x:v>51.290000915527344</x:v>
      </x:c>
      <x:c r="H100" s="46" t="n">
        <x:v>7398.93017578125</x:v>
      </x:c>
      <x:c r="I100" s="46" t="n">
        <x:v>26247.080078125</x:v>
      </x:c>
      <x:c r="J100" s="46" t="n">
        <x:v>612.1400146484375</x:v>
      </x:c>
    </x:row>
    <x:row r="101">
      <x:c r="A101" s="18" t="n">
        <x:v>46157</x:v>
      </x:c>
      <x:c r="B101" s="45" t="n">
        <x:v>165</x:v>
      </x:c>
      <x:c r="C101" s="46" t="n">
        <x:v>7952.5498046875</x:v>
      </x:c>
      <x:c r="D101" s="47" t="n">
        <x:v>27.25</x:v>
      </x:c>
      <x:c r="E101" s="47" t="n">
        <x:v>40.06999969482422</x:v>
      </x:c>
      <x:c r="F101" s="47" t="n">
        <x:v>14.970000267028809</x:v>
      </x:c>
      <x:c r="G101" s="47" t="n">
        <x:v>47.400001525878906</x:v>
      </x:c>
      <x:c r="H101" s="46" t="n">
        <x:v>7408.5</x:v>
      </x:c>
      <x:c r="I101" s="46" t="n">
        <x:v>26225.140625</x:v>
      </x:c>
      <x:c r="J101" s="46" t="n">
        <x:v>606.9199829101562</x:v>
      </x:c>
    </x:row>
    <x:row r="102">
      <x:c r="A102" s="18" t="n">
        <x:v>46164</x:v>
      </x:c>
      <x:c r="B102" s="45" t="n">
        <x:v>171.39999389648438</x:v>
      </x:c>
      <x:c r="C102" s="46" t="n">
        <x:v>8115.75</x:v>
      </x:c>
      <x:c r="D102" s="47" t="n">
        <x:v>28.899999618530273</x:v>
      </x:c>
      <x:c r="E102" s="47" t="n">
        <x:v>36.13999938964844</x:v>
      </x:c>
      <x:c r="F102" s="47" t="n">
        <x:v>16.06999969482422</x:v>
      </x:c>
      <x:c r="G102" s="47" t="n">
        <x:v>50.310001373291016</x:v>
      </x:c>
      <x:c r="H102" s="46" t="n">
        <x:v>7473.47021484375</x:v>
      </x:c>
      <x:c r="I102" s="46" t="n">
        <x:v>26343.970703125</x:v>
      </x:c>
      <x:c r="J102" s="46" t="n">
        <x:v>625.1199951171875</x:v>
      </x:c>
    </x:row>
    <x:row r="103">
      <x:c r="A103" s="18" t="n">
        <x:v>46171</x:v>
      </x:c>
      <x:c r="B103" s="45" t="n">
        <x:v>167.8000030517578</x:v>
      </x:c>
      <x:c r="C103" s="46" t="n">
        <x:v>8183.33984375</x:v>
      </x:c>
      <x:c r="D103" s="47" t="n">
        <x:v>29.399999618530273</x:v>
      </x:c>
      <x:c r="E103" s="47" t="n">
        <x:v>37.02000045776367</x:v>
      </x:c>
      <x:c r="F103" s="47" t="n">
        <x:v>16.079999923706055</x:v>
      </x:c>
      <x:c r="G103" s="47" t="n">
        <x:v>49.779998779296875</x:v>
      </x:c>
      <x:c r="H103" s="46" t="n">
        <x:v>7580.06005859375</x:v>
      </x:c>
      <x:c r="I103" s="46" t="n">
        <x:v>26972.619140625</x:v>
      </x:c>
      <x:c r="J103" s="46" t="n">
        <x:v>626</x:v>
      </x:c>
    </x:row>
    <x:row r="104">
      <x:c r="A104" s="18" t="n">
        <x:v>46178</x:v>
      </x:c>
      <x:c r="B104" s="45" t="n">
        <x:v>172</x:v>
      </x:c>
      <x:c r="C104" s="46" t="n">
        <x:v>8218.240234375</x:v>
      </x:c>
      <x:c r="D104" s="47" t="n">
        <x:v>28.65999984741211</x:v>
      </x:c>
      <x:c r="E104" s="47" t="n">
        <x:v>35.970001220703125</x:v>
      </x:c>
      <x:c r="F104" s="47" t="n">
        <x:v>14.920000076293945</x:v>
      </x:c>
      <x:c r="G104" s="47" t="n">
        <x:v>49.130001068115234</x:v>
      </x:c>
      <x:c r="H104" s="46" t="n">
        <x:v>7383.740234375</x:v>
      </x:c>
      <x:c r="I104" s="46" t="n">
        <x:v>25709.4296875</x:v>
      </x:c>
      <x:c r="J104" s="46" t="n">
        <x:v>622.6599731445312</x:v>
      </x:c>
    </x:row>
    <x:row r="105">
      <x:c r="A105" s="18" t="n">
        <x:v>46185</x:v>
      </x:c>
      <x:c r="B105" s="45" t="n">
        <x:v>165.1999969482422</x:v>
      </x:c>
      <x:c r="C105" s="46" t="n">
        <x:v>8350.8701171875</x:v>
      </x:c>
      <x:c r="D105" s="47" t="n">
        <x:v>28.729999542236328</x:v>
      </x:c>
      <x:c r="E105" s="47" t="n">
        <x:v>33.18000030517578</x:v>
      </x:c>
      <x:c r="F105" s="47" t="n">
        <x:v>15.319999694824219</x:v>
      </x:c>
      <x:c r="G105" s="47" t="n">
        <x:v>48.93000030517578</x:v>
      </x:c>
      <x:c r="H105" s="46" t="n">
        <x:v>7431.4599609375</x:v>
      </x:c>
      <x:c r="I105" s="46" t="n">
        <x:v>25888.83984375</x:v>
      </x:c>
      <x:c r="J105" s="46" t="n">
        <x:v>633.2100219726562</x:v>
      </x:c>
    </x:row>
    <x:row r="106">
      <x:c r="A106" s="18" t="n">
        <x:v>46192</x:v>
      </x:c>
      <x:c r="B106" s="45" t="n">
        <x:v>160</x:v>
      </x:c>
      <x:c r="C106" s="46" t="n">
        <x:v>8421.1396484375</x:v>
      </x:c>
      <x:c r="D106" s="47" t="n">
        <x:v>26.770000457763672</x:v>
      </x:c>
      <x:c r="E106" s="47" t="n">
        <x:v>32.470001220703125</x:v>
      </x:c>
      <x:c r="F106" s="47" t="n">
        <x:v>14.800000190734863</x:v>
      </x:c>
      <x:c r="G106" s="47" t="n">
        <x:v>47.369998931884766</x:v>
      </x:c>
      <x:c r="H106" s="46" t="n">
        <x:v>7500.580078125</x:v>
      </x:c>
      <x:c r="I106" s="46" t="n">
        <x:v>26517.9296875</x:v>
      </x:c>
      <x:c r="J106" s="46" t="n">
        <x:v>635.6099853515625</x:v>
      </x:c>
    </x:row>
    <x:row r="107">
      <x:c r="A107" s="18" t="n">
        <x:v>46199</x:v>
      </x:c>
      <x:c r="B107" s="45" t="n">
        <x:v>173</x:v>
      </x:c>
      <x:c r="C107" s="46" t="n">
        <x:v>8384.8701171875</x:v>
      </x:c>
      <x:c r="D107" s="47" t="n">
        <x:v>28.34000015258789</x:v>
      </x:c>
      <x:c r="E107" s="47" t="n">
        <x:v>35.52000045776367</x:v>
      </x:c>
      <x:c r="F107" s="47" t="n">
        <x:v>15.630000114440918</x:v>
      </x:c>
      <x:c r="G107" s="47" t="n">
        <x:v>49.04999923706055</x:v>
      </x:c>
      <x:c r="H107" s="46" t="n">
        <x:v>7354.02001953125</x:v>
      </x:c>
      <x:c r="I107" s="46" t="n">
        <x:v>25297.619140625</x:v>
      </x:c>
      <x:c r="J107" s="46" t="n">
        <x:v>635.8800048828125</x:v>
      </x:c>
    </x:row>
    <x:row r="108">
      <x:c r="A108" s="18" t="n">
        <x:v>46206</x:v>
      </x:c>
      <x:c r="B108" s="45" t="n">
        <x:v>179.1999969482422</x:v>
      </x:c>
      <x:c r="C108" s="46" t="n">
        <x:v>8508.0703125</x:v>
      </x:c>
      <x:c r="D108" s="47" t="n">
        <x:v>29.8799991607666</x:v>
      </x:c>
      <x:c r="E108" s="47" t="n">
        <x:v>40.47999954223633</x:v>
      </x:c>
      <x:c r="F108" s="47" t="n">
        <x:v>17.75</x:v>
      </x:c>
      <x:c r="G108" s="47" t="n">
        <x:v>51.93000030517578</x:v>
      </x:c>
      <x:c r="H108" s="46" t="n">
        <x:v>7483.240234375</x:v>
      </x:c>
      <x:c r="I108" s="46" t="n">
        <x:v>25832.669921875</x:v>
      </x:c>
      <x:c r="J108" s="46" t="n">
        <x:v>652.77001953125</x:v>
      </x:c>
    </x:row>
    <x:row r="109">
      <x:c r="A109" s="18" t="n">
        <x:v>46213</x:v>
      </x:c>
      <x:c r="B109" s="45" t="n">
        <x:v>175.1999969482422</x:v>
      </x:c>
      <x:c r="C109" s="46" t="n">
        <x:v>8338.9697265625</x:v>
      </x:c>
      <x:c r="D109" s="47" t="n">
        <x:v>29.1299991607666</x:v>
      </x:c>
      <x:c r="E109" s="47" t="n">
        <x:v>41.36000061035156</x:v>
      </x:c>
      <x:c r="F109" s="47" t="n">
        <x:v>16.989999771118164</x:v>
      </x:c>
      <x:c r="G109" s="47" t="n">
        <x:v>52.16999816894531</x:v>
      </x:c>
      <x:c r="H109" s="46" t="n">
        <x:v>7575.39013671875</x:v>
      </x:c>
      <x:c r="I109" s="46" t="n">
        <x:v>26281.609375</x:v>
      </x:c>
      <x:c r="J109" s="46" t="n">
        <x:v>641.0999755859375</x:v>
      </x:c>
    </x:row>
  </x:sheetData>
  <x:mergeCells>
    <x:mergeCell ref="A1:J1"/>
    <x:mergeCell ref="A2:J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</x:cols>
  <x:sheetData>
    <x:row r="1" ht="28" customHeight="1">
      <x:c r="A1" s="192" t="str">
        <x:v>RENDEMENTS LOGARITHMIQUES HEBDOMADAIRES — 104 OBSERVATIONS</x:v>
      </x:c>
      <x:c r="B1" s="192" t="str">
        <x:v>RENDEMENTS LOGARITHMIQUES HEBDOMADAIRES — 104 OBSERVATIONS</x:v>
      </x:c>
      <x:c r="C1" s="192" t="str">
        <x:v>RENDEMENTS LOGARITHMIQUES HEBDOMADAIRES — 104 OBSERVATIONS</x:v>
      </x:c>
      <x:c r="D1" s="192" t="str">
        <x:v>RENDEMENTS LOGARITHMIQUES HEBDOMADAIRES — 104 OBSERVATIONS</x:v>
      </x:c>
      <x:c r="E1" s="192" t="str">
        <x:v>RENDEMENTS LOGARITHMIQUES HEBDOMADAIRES — 104 OBSERVATIONS</x:v>
      </x:c>
      <x:c r="F1" s="192" t="str">
        <x:v>RENDEMENTS LOGARITHMIQUES HEBDOMADAIRES — 104 OBSERVATIONS</x:v>
      </x:c>
      <x:c r="G1" s="192" t="str">
        <x:v>RENDEMENTS LOGARITHMIQUES HEBDOMADAIRES — 104 OBSERVATIONS</x:v>
      </x:c>
      <x:c r="H1" s="192" t="str">
        <x:v>RENDEMENTS LOGARITHMIQUES HEBDOMADAIRES — 104 OBSERVATIONS</x:v>
      </x:c>
      <x:c r="I1" s="192" t="str">
        <x:v>RENDEMENTS LOGARITHMIQUES HEBDOMADAIRES — 104 OBSERVATIONS</x:v>
      </x:c>
      <x:c r="J1" s="192" t="str">
        <x:v>RENDEMENTS LOGARITHMIQUES HEBDOMADAIRES — 104 OBSERVATIONS</x:v>
      </x:c>
    </x:row>
    <x:row r="2">
      <x:c r="A2" s="44" t="str">
        <x:v>Chaque cellule de rendement est une formule LN(Pt/Pt−1) liée à l’onglet Cours Hebdo.</x:v>
      </x:c>
      <x:c r="B2" s="44"/>
      <x:c r="C2" s="44"/>
      <x:c r="D2" s="44"/>
      <x:c r="E2" s="44"/>
      <x:c r="F2" s="44"/>
      <x:c r="G2" s="44"/>
      <x:c r="H2" s="44"/>
      <x:c r="I2" s="44"/>
      <x:c r="J2" s="44"/>
    </x:row>
    <x:row r="4" ht="28" customHeight="1">
      <x:c r="A4" s="15" t="str">
        <x:v>Semaine fin</x:v>
      </x:c>
      <x:c r="B4" s="16" t="str">
        <x:v>Sidetrade</x:v>
      </x:c>
      <x:c r="C4" s="16" t="str">
        <x:v>CAC 40</x:v>
      </x:c>
      <x:c r="D4" s="16" t="str">
        <x:v>BlackLine</x:v>
      </x:c>
      <x:c r="E4" s="16" t="str">
        <x:v>BILL</x:v>
      </x:c>
      <x:c r="F4" s="16" t="str">
        <x:v>nCino</x:v>
      </x:c>
      <x:c r="G4" s="16" t="str">
        <x:v>Workiva</x:v>
      </x:c>
      <x:c r="H4" s="16" t="str">
        <x:v>S&amp;P 500</x:v>
      </x:c>
      <x:c r="I4" s="16" t="str">
        <x:v>Nasdaq</x:v>
      </x:c>
      <x:c r="J4" s="17" t="str">
        <x:v>STOXX 600</x:v>
      </x:c>
    </x:row>
    <x:row r="5">
      <x:c r="A5" s="48" t="str">
        <x:v>Point initial</x:v>
      </x:c>
      <x:c r="B5"/>
      <x:c r="C5"/>
      <x:c r="D5"/>
      <x:c r="E5"/>
      <x:c r="F5"/>
      <x:c r="G5"/>
      <x:c r="H5"/>
      <x:c r="I5"/>
      <x:c r="J5"/>
    </x:row>
    <x:row r="6">
      <x:c r="A6" s="18" t="n">
        <x:v>45492</x:v>
      </x:c>
      <x:c r="B6" s="49" t="n">
        <x:f>LN('Cours Hebdo'!B6/'Cours Hebdo'!B5)</x:f>
        <x:v>0.028170876966696224</x:v>
      </x:c>
      <x:c r="C6" s="49" t="n">
        <x:f>LN('Cours Hebdo'!C6/'Cours Hebdo'!C5)</x:f>
        <x:v>-0.024878640341524923</x:v>
      </x:c>
      <x:c r="D6" s="49" t="n">
        <x:f>LN('Cours Hebdo'!D6/'Cours Hebdo'!D5)</x:f>
        <x:v>-0.02575070932015445</x:v>
      </x:c>
      <x:c r="E6" s="49" t="n">
        <x:f>LN('Cours Hebdo'!E6/'Cours Hebdo'!E5)</x:f>
        <x:v>0.04482494103273619</x:v>
      </x:c>
      <x:c r="F6" s="49" t="n">
        <x:f>LN('Cours Hebdo'!F6/'Cours Hebdo'!F5)</x:f>
        <x:v>0.01957747814679908</x:v>
      </x:c>
      <x:c r="G6" s="49" t="n">
        <x:f>LN('Cours Hebdo'!G6/'Cours Hebdo'!G5)</x:f>
        <x:v>-0.030599375753974586</x:v>
      </x:c>
      <x:c r="H6" s="49" t="n">
        <x:f>LN('Cours Hebdo'!H6/'Cours Hebdo'!H5)</x:f>
        <x:v>-0.019847166500595655</x:v>
      </x:c>
      <x:c r="I6" s="49" t="n">
        <x:f>LN('Cours Hebdo'!I6/'Cours Hebdo'!I5)</x:f>
        <x:v>-0.03718089396484895</x:v>
      </x:c>
      <x:c r="J6" s="49" t="n">
        <x:f>LN('Cours Hebdo'!J6/'Cours Hebdo'!J5)</x:f>
        <x:v>-0.02717483190849499</x:v>
      </x:c>
    </x:row>
    <x:row r="7">
      <x:c r="A7" s="18" t="n">
        <x:v>45499</x:v>
      </x:c>
      <x:c r="B7" s="49" t="n">
        <x:f>LN('Cours Hebdo'!B7/'Cours Hebdo'!B6)</x:f>
        <x:v>0.0749013081731177</x:v>
      </x:c>
      <x:c r="C7" s="49" t="n">
        <x:f>LN('Cours Hebdo'!C7/'Cours Hebdo'!C6)</x:f>
        <x:v>-0.002237526814319649</x:v>
      </x:c>
      <x:c r="D7" s="49" t="n">
        <x:f>LN('Cours Hebdo'!D7/'Cours Hebdo'!D6)</x:f>
        <x:v>0.022201974123074262</x:v>
      </x:c>
      <x:c r="E7" s="49" t="n">
        <x:f>LN('Cours Hebdo'!E7/'Cours Hebdo'!E6)</x:f>
        <x:v>-0.014656383388881195</x:v>
      </x:c>
      <x:c r="F7" s="49" t="n">
        <x:f>LN('Cours Hebdo'!F7/'Cours Hebdo'!F6)</x:f>
        <x:v>0.04762809059989693</x:v>
      </x:c>
      <x:c r="G7" s="49" t="n">
        <x:f>LN('Cours Hebdo'!G7/'Cours Hebdo'!G6)</x:f>
        <x:v>0.033152213068613906</x:v>
      </x:c>
      <x:c r="H7" s="49" t="n">
        <x:f>LN('Cours Hebdo'!H7/'Cours Hebdo'!H6)</x:f>
        <x:v>-0.008372811280765004</x:v>
      </x:c>
      <x:c r="I7" s="49" t="n">
        <x:f>LN('Cours Hebdo'!I7/'Cours Hebdo'!I6)</x:f>
        <x:v>-0.021038854040007146</x:v>
      </x:c>
      <x:c r="J7" s="49" t="n">
        <x:f>LN('Cours Hebdo'!J7/'Cours Hebdo'!J6)</x:f>
        <x:v>0.005474894435584376</x:v>
      </x:c>
    </x:row>
    <x:row r="8">
      <x:c r="A8" s="18" t="n">
        <x:v>45506</x:v>
      </x:c>
      <x:c r="B8" s="49" t="n">
        <x:f>LN('Cours Hebdo'!B8/'Cours Hebdo'!B7)</x:f>
        <x:v>-0.007762005335489189</x:v>
      </x:c>
      <x:c r="C8" s="49" t="n">
        <x:f>LN('Cours Hebdo'!C8/'Cours Hebdo'!C7)</x:f>
        <x:v>-0.036007916126300894</x:v>
      </x:c>
      <x:c r="D8" s="49" t="n">
        <x:f>LN('Cours Hebdo'!D8/'Cours Hebdo'!D7)</x:f>
        <x:v>-0.048194357069484245</x:v>
      </x:c>
      <x:c r="E8" s="49" t="n">
        <x:f>LN('Cours Hebdo'!E8/'Cours Hebdo'!E7)</x:f>
        <x:v>-0.12183726431025318</x:v>
      </x:c>
      <x:c r="F8" s="49" t="n">
        <x:f>LN('Cours Hebdo'!F8/'Cours Hebdo'!F7)</x:f>
        <x:v>-0.06433977628638858</x:v>
      </x:c>
      <x:c r="G8" s="49" t="n">
        <x:f>LN('Cours Hebdo'!G8/'Cours Hebdo'!G7)</x:f>
        <x:v>-0.03176593471572448</x:v>
      </x:c>
      <x:c r="H8" s="49" t="n">
        <x:f>LN('Cours Hebdo'!H8/'Cours Hebdo'!H7)</x:f>
        <x:v>-0.020830584488164793</x:v>
      </x:c>
      <x:c r="I8" s="49" t="n">
        <x:f>LN('Cours Hebdo'!I8/'Cours Hebdo'!I7)</x:f>
        <x:v>-0.03408779116613728</x:v>
      </x:c>
      <x:c r="J8" s="49" t="n">
        <x:f>LN('Cours Hebdo'!J8/'Cours Hebdo'!J7)</x:f>
        <x:v>-0.029645600466095625</x:v>
      </x:c>
    </x:row>
    <x:row r="9">
      <x:c r="A9" s="18" t="n">
        <x:v>45513</x:v>
      </x:c>
      <x:c r="B9" s="49" t="n">
        <x:f>LN('Cours Hebdo'!B9/'Cours Hebdo'!B8)</x:f>
        <x:v>0.05310982531394833</x:v>
      </x:c>
      <x:c r="C9" s="49" t="n">
        <x:f>LN('Cours Hebdo'!C9/'Cours Hebdo'!C8)</x:f>
        <x:v>0.0024667084374126263</x:v>
      </x:c>
      <x:c r="D9" s="49" t="n">
        <x:f>LN('Cours Hebdo'!D9/'Cours Hebdo'!D8)</x:f>
        <x:v>0.12543418613506527</x:v>
      </x:c>
      <x:c r="E9" s="49" t="n">
        <x:f>LN('Cours Hebdo'!E9/'Cours Hebdo'!E8)</x:f>
        <x:v>0.003628179641226805</x:v>
      </x:c>
      <x:c r="F9" s="49" t="n">
        <x:f>LN('Cours Hebdo'!F9/'Cours Hebdo'!F8)</x:f>
        <x:v>0.020456975195545256</x:v>
      </x:c>
      <x:c r="G9" s="49" t="n">
        <x:f>LN('Cours Hebdo'!G9/'Cours Hebdo'!G8)</x:f>
        <x:v>0.03310703863035248</x:v>
      </x:c>
      <x:c r="H9" s="49" t="n">
        <x:f>LN('Cours Hebdo'!H9/'Cours Hebdo'!H8)</x:f>
        <x:v>-0.00044896926228238664</x:v>
      </x:c>
      <x:c r="I9" s="49" t="n">
        <x:f>LN('Cours Hebdo'!I9/'Cours Hebdo'!I8)</x:f>
        <x:v>-0.0018411717660567677</x:v>
      </x:c>
      <x:c r="J9" s="49" t="n">
        <x:f>LN('Cours Hebdo'!J9/'Cours Hebdo'!J8)</x:f>
        <x:v>0.0026879506001858044</x:v>
      </x:c>
    </x:row>
    <x:row r="10">
      <x:c r="A10" s="18" t="n">
        <x:v>45520</x:v>
      </x:c>
      <x:c r="B10" s="49" t="n">
        <x:f>LN('Cours Hebdo'!B10/'Cours Hebdo'!B9)</x:f>
        <x:v>0.009804000096620835</x:v>
      </x:c>
      <x:c r="C10" s="49" t="n">
        <x:f>LN('Cours Hebdo'!C10/'Cours Hebdo'!C9)</x:f>
        <x:v>0.024457393924049615</x:v>
      </x:c>
      <x:c r="D10" s="49" t="n">
        <x:f>LN('Cours Hebdo'!D10/'Cours Hebdo'!D9)</x:f>
        <x:v>-0.001937580008198915</x:v>
      </x:c>
      <x:c r="E10" s="49" t="n">
        <x:f>LN('Cours Hebdo'!E10/'Cours Hebdo'!E9)</x:f>
        <x:v>0.045396100927298955</x:v>
      </x:c>
      <x:c r="F10" s="49" t="n">
        <x:f>LN('Cours Hebdo'!F10/'Cours Hebdo'!F9)</x:f>
        <x:v>0.06453861769338193</x:v>
      </x:c>
      <x:c r="G10" s="49" t="n">
        <x:f>LN('Cours Hebdo'!G10/'Cours Hebdo'!G9)</x:f>
        <x:v>0.04686100392563197</x:v>
      </x:c>
      <x:c r="H10" s="49" t="n">
        <x:f>LN('Cours Hebdo'!H10/'Cours Hebdo'!H9)</x:f>
        <x:v>0.038558995331668955</x:v>
      </x:c>
      <x:c r="I10" s="49" t="n">
        <x:f>LN('Cours Hebdo'!I10/'Cours Hebdo'!I9)</x:f>
        <x:v>0.051581923968714555</x:v>
      </x:c>
      <x:c r="J10" s="49" t="n">
        <x:f>LN('Cours Hebdo'!J10/'Cours Hebdo'!J9)</x:f>
        <x:v>0.024263063076485705</x:v>
      </x:c>
    </x:row>
    <x:row r="11">
      <x:c r="A11" s="18" t="n">
        <x:v>45527</x:v>
      </x:c>
      <x:c r="B11" s="49" t="n">
        <x:f>LN('Cours Hebdo'!B11/'Cours Hebdo'!B10)</x:f>
        <x:v>0.09309042306601203</x:v>
      </x:c>
      <x:c r="C11" s="49" t="n">
        <x:f>LN('Cours Hebdo'!C11/'Cours Hebdo'!C10)</x:f>
        <x:v>0.016948837883106416</x:v>
      </x:c>
      <x:c r="D11" s="49" t="n">
        <x:f>LN('Cours Hebdo'!D11/'Cours Hebdo'!D10)</x:f>
        <x:v>-0.0142594372238798</x:v>
      </x:c>
      <x:c r="E11" s="49" t="n">
        <x:f>LN('Cours Hebdo'!E11/'Cours Hebdo'!E10)</x:f>
        <x:v>-0.03691065478479807</x:v>
      </x:c>
      <x:c r="F11" s="49" t="n">
        <x:f>LN('Cours Hebdo'!F11/'Cours Hebdo'!F10)</x:f>
        <x:v>0.021953461195231005</x:v>
      </x:c>
      <x:c r="G11" s="49" t="n">
        <x:f>LN('Cours Hebdo'!G11/'Cours Hebdo'!G10)</x:f>
        <x:v>0.01824686300588479</x:v>
      </x:c>
      <x:c r="H11" s="49" t="n">
        <x:f>LN('Cours Hebdo'!H11/'Cours Hebdo'!H10)</x:f>
        <x:v>0.01436451006458205</x:v>
      </x:c>
      <x:c r="I11" s="49" t="n">
        <x:f>LN('Cours Hebdo'!I11/'Cours Hebdo'!I10)</x:f>
        <x:v>0.013859515371921736</x:v>
      </x:c>
      <x:c r="J11" s="49" t="n">
        <x:f>LN('Cours Hebdo'!J11/'Cours Hebdo'!J10)</x:f>
        <x:v>0.012976332677338566</x:v>
      </x:c>
    </x:row>
    <x:row r="12">
      <x:c r="A12" s="18" t="n">
        <x:v>45534</x:v>
      </x:c>
      <x:c r="B12" s="49" t="n">
        <x:f>LN('Cours Hebdo'!B12/'Cours Hebdo'!B11)</x:f>
        <x:v>-0.11778303565638351</x:v>
      </x:c>
      <x:c r="C12" s="49" t="n">
        <x:f>LN('Cours Hebdo'!C12/'Cours Hebdo'!C11)</x:f>
        <x:v>0.007089744434707742</x:v>
      </x:c>
      <x:c r="D12" s="49" t="n">
        <x:f>LN('Cours Hebdo'!D12/'Cours Hebdo'!D11)</x:f>
        <x:v>-0.025504522103289056</x:v>
      </x:c>
      <x:c r="E12" s="49" t="n">
        <x:f>LN('Cours Hebdo'!E12/'Cours Hebdo'!E11)</x:f>
        <x:v>0.14194543139642443</x:v>
      </x:c>
      <x:c r="F12" s="49" t="n">
        <x:f>LN('Cours Hebdo'!F12/'Cours Hebdo'!F11)</x:f>
        <x:v>-0.1554849333987179</x:v>
      </x:c>
      <x:c r="G12" s="49" t="n">
        <x:f>LN('Cours Hebdo'!G12/'Cours Hebdo'!G11)</x:f>
        <x:v>-0.018630552723882504</x:v>
      </x:c>
      <x:c r="H12" s="49" t="n">
        <x:f>LN('Cours Hebdo'!H12/'Cours Hebdo'!H11)</x:f>
        <x:v>0.002444391384089619</x:v>
      </x:c>
      <x:c r="I12" s="49" t="n">
        <x:f>LN('Cours Hebdo'!I12/'Cours Hebdo'!I11)</x:f>
        <x:v>-0.009225321193496441</x:v>
      </x:c>
      <x:c r="J12" s="49" t="n">
        <x:f>LN('Cours Hebdo'!J12/'Cours Hebdo'!J11)</x:f>
        <x:v>0.013267287454876793</x:v>
      </x:c>
    </x:row>
    <x:row r="13">
      <x:c r="A13" s="18" t="n">
        <x:v>45541</x:v>
      </x:c>
      <x:c r="B13" s="49" t="n">
        <x:f>LN('Cours Hebdo'!B13/'Cours Hebdo'!B12)</x:f>
        <x:v>0.009950330853168092</x:v>
      </x:c>
      <x:c r="C13" s="49" t="n">
        <x:f>LN('Cours Hebdo'!C13/'Cours Hebdo'!C12)</x:f>
        <x:v>-0.03719920878048151</x:v>
      </x:c>
      <x:c r="D13" s="49" t="n">
        <x:f>LN('Cours Hebdo'!D13/'Cours Hebdo'!D12)</x:f>
        <x:v>-0.03344932978209543</x:v>
      </x:c>
      <x:c r="E13" s="49" t="n">
        <x:f>LN('Cours Hebdo'!E13/'Cours Hebdo'!E12)</x:f>
        <x:v>0.009122485950683224</x:v>
      </x:c>
      <x:c r="F13" s="49" t="n">
        <x:f>LN('Cours Hebdo'!F13/'Cours Hebdo'!F12)</x:f>
        <x:v>0.0029995075015205323</x:v>
      </x:c>
      <x:c r="G13" s="49" t="n">
        <x:f>LN('Cours Hebdo'!G13/'Cours Hebdo'!G12)</x:f>
        <x:v>-0.06719441042004157</x:v>
      </x:c>
      <x:c r="H13" s="49" t="n">
        <x:f>LN('Cours Hebdo'!H13/'Cours Hebdo'!H12)</x:f>
        <x:v>-0.043415317921877306</x:v>
      </x:c>
      <x:c r="I13" s="49" t="n">
        <x:f>LN('Cours Hebdo'!I13/'Cours Hebdo'!I12)</x:f>
        <x:v>-0.059474315188047994</x:v>
      </x:c>
      <x:c r="J13" s="49" t="n">
        <x:f>LN('Cours Hebdo'!J13/'Cours Hebdo'!J12)</x:f>
        <x:v>-0.03585070102966048</x:v>
      </x:c>
    </x:row>
    <x:row r="14">
      <x:c r="A14" s="18" t="n">
        <x:v>45548</x:v>
      </x:c>
      <x:c r="B14" s="49" t="n">
        <x:f>LN('Cours Hebdo'!B14/'Cours Hebdo'!B13)</x:f>
        <x:v>-0.009950330853168092</x:v>
      </x:c>
      <x:c r="C14" s="49" t="n">
        <x:f>LN('Cours Hebdo'!C14/'Cours Hebdo'!C13)</x:f>
        <x:v>0.015245757169480184</x:v>
      </x:c>
      <x:c r="D14" s="49" t="n">
        <x:f>LN('Cours Hebdo'!D14/'Cours Hebdo'!D13)</x:f>
        <x:v>0.0426900362716523</x:v>
      </x:c>
      <x:c r="E14" s="49" t="n">
        <x:f>LN('Cours Hebdo'!E14/'Cours Hebdo'!E13)</x:f>
        <x:v>-0.05891207775651174</x:v>
      </x:c>
      <x:c r="F14" s="49" t="n">
        <x:f>LN('Cours Hebdo'!F14/'Cours Hebdo'!F13)</x:f>
        <x:v>-0.022208175928711278</x:v>
      </x:c>
      <x:c r="G14" s="49" t="n">
        <x:f>LN('Cours Hebdo'!G14/'Cours Hebdo'!G13)</x:f>
        <x:v>0.022190154474837923</x:v>
      </x:c>
      <x:c r="H14" s="49" t="n">
        <x:f>LN('Cours Hebdo'!H14/'Cours Hebdo'!H13)</x:f>
        <x:v>0.03944528445461394</x:v>
      </x:c>
      <x:c r="I14" s="49" t="n">
        <x:f>LN('Cours Hebdo'!I14/'Cours Hebdo'!I13)</x:f>
        <x:v>0.05779970000913912</x:v>
      </x:c>
      <x:c r="J14" s="49" t="n">
        <x:f>LN('Cours Hebdo'!J14/'Cours Hebdo'!J13)</x:f>
        <x:v>0.018367113347985294</x:v>
      </x:c>
    </x:row>
    <x:row r="15">
      <x:c r="A15" s="18" t="n">
        <x:v>45555</x:v>
      </x:c>
      <x:c r="B15" s="49" t="n">
        <x:f>LN('Cours Hebdo'!B15/'Cours Hebdo'!B14)</x:f>
        <x:v>0.06297479916138839</x:v>
      </x:c>
      <x:c r="C15" s="49" t="n">
        <x:f>LN('Cours Hebdo'!C15/'Cours Hebdo'!C14)</x:f>
        <x:v>0.004678735310531968</x:v>
      </x:c>
      <x:c r="D15" s="49" t="n">
        <x:f>LN('Cours Hebdo'!D15/'Cours Hebdo'!D14)</x:f>
        <x:v>0.0386360685386212</x:v>
      </x:c>
      <x:c r="E15" s="49" t="n">
        <x:f>LN('Cours Hebdo'!E15/'Cours Hebdo'!E14)</x:f>
        <x:v>0.044275829397339476</x:v>
      </x:c>
      <x:c r="F15" s="49" t="n">
        <x:f>LN('Cours Hebdo'!F15/'Cours Hebdo'!F14)</x:f>
        <x:v>0.03510309087457989</x:v>
      </x:c>
      <x:c r="G15" s="49" t="n">
        <x:f>LN('Cours Hebdo'!G15/'Cours Hebdo'!G14)</x:f>
        <x:v>0.05758950413345605</x:v>
      </x:c>
      <x:c r="H15" s="49" t="n">
        <x:f>LN('Cours Hebdo'!H15/'Cours Hebdo'!H14)</x:f>
        <x:v>0.01351114051560299</x:v>
      </x:c>
      <x:c r="I15" s="49" t="n">
        <x:f>LN('Cours Hebdo'!I15/'Cours Hebdo'!I14)</x:f>
        <x:v>0.014837363145943314</x:v>
      </x:c>
      <x:c r="J15" s="49" t="n">
        <x:f>LN('Cours Hebdo'!J15/'Cours Hebdo'!J14)</x:f>
        <x:v>-0.0032808920925420093</x:v>
      </x:c>
    </x:row>
    <x:row r="16">
      <x:c r="A16" s="18" t="n">
        <x:v>45562</x:v>
      </x:c>
      <x:c r="B16" s="49" t="n">
        <x:f>LN('Cours Hebdo'!B16/'Cours Hebdo'!B15)</x:f>
        <x:v>0.0724298378448145</x:v>
      </x:c>
      <x:c r="C16" s="49" t="n">
        <x:f>LN('Cours Hebdo'!C16/'Cours Hebdo'!C15)</x:f>
        <x:v>0.03813296491252145</x:v>
      </x:c>
      <x:c r="D16" s="49" t="n">
        <x:f>LN('Cours Hebdo'!D16/'Cours Hebdo'!D15)</x:f>
        <x:v>0.016598663037555916</x:v>
      </x:c>
      <x:c r="E16" s="49" t="n">
        <x:f>LN('Cours Hebdo'!E16/'Cours Hebdo'!E15)</x:f>
        <x:v>-0.020104884743589242</x:v>
      </x:c>
      <x:c r="F16" s="49" t="n">
        <x:f>LN('Cours Hebdo'!F16/'Cours Hebdo'!F15)</x:f>
        <x:v>0.027541036402128634</x:v>
      </x:c>
      <x:c r="G16" s="49" t="n">
        <x:f>LN('Cours Hebdo'!G16/'Cours Hebdo'!G15)</x:f>
        <x:v>0.016537581066346327</x:v>
      </x:c>
      <x:c r="H16" s="49" t="n">
        <x:f>LN('Cours Hebdo'!H16/'Cours Hebdo'!H15)</x:f>
        <x:v>0.006226921580973474</x:v>
      </x:c>
      <x:c r="I16" s="49" t="n">
        <x:f>LN('Cours Hebdo'!I16/'Cours Hebdo'!I15)</x:f>
        <x:v>0.009497130153512147</x:v>
      </x:c>
      <x:c r="J16" s="49" t="n">
        <x:f>LN('Cours Hebdo'!J16/'Cours Hebdo'!J15)</x:f>
        <x:v>0.026518826614228778</x:v>
      </x:c>
    </x:row>
    <x:row r="17">
      <x:c r="A17" s="18" t="n">
        <x:v>45569</x:v>
      </x:c>
      <x:c r="B17" s="49" t="n">
        <x:f>LN('Cours Hebdo'!B17/'Cours Hebdo'!B16)</x:f>
        <x:v>-0.04465027373773882</x:v>
      </x:c>
      <x:c r="C17" s="49" t="n">
        <x:f>LN('Cours Hebdo'!C17/'Cours Hebdo'!C16)</x:f>
        <x:v>-0.03266810129315786</x:v>
      </x:c>
      <x:c r="D17" s="49" t="n">
        <x:f>LN('Cours Hebdo'!D17/'Cours Hebdo'!D16)</x:f>
        <x:v>0.03092645683991766</x:v>
      </x:c>
      <x:c r="E17" s="49" t="n">
        <x:f>LN('Cours Hebdo'!E17/'Cours Hebdo'!E16)</x:f>
        <x:v>0.04288076291145459</x:v>
      </x:c>
      <x:c r="F17" s="49" t="n">
        <x:f>LN('Cours Hebdo'!F17/'Cours Hebdo'!F16)</x:f>
        <x:v>-0.01027961512641335</x:v>
      </x:c>
      <x:c r="G17" s="49" t="n">
        <x:f>LN('Cours Hebdo'!G17/'Cours Hebdo'!G16)</x:f>
        <x:v>-0.00936277944465638</x:v>
      </x:c>
      <x:c r="H17" s="49" t="n">
        <x:f>LN('Cours Hebdo'!H17/'Cours Hebdo'!H16)</x:f>
        <x:v>0.0022455633357013026</x:v>
      </x:c>
      <x:c r="I17" s="49" t="n">
        <x:f>LN('Cours Hebdo'!I17/'Cours Hebdo'!I16)</x:f>
        <x:v>0.0010072287201820331</x:v>
      </x:c>
      <x:c r="J17" s="49" t="n">
        <x:f>LN('Cours Hebdo'!J17/'Cours Hebdo'!J16)</x:f>
        <x:v>-0.018192085057552234</x:v>
      </x:c>
    </x:row>
    <x:row r="18">
      <x:c r="A18" s="18" t="n">
        <x:v>45576</x:v>
      </x:c>
      <x:c r="B18" s="49" t="n">
        <x:f>LN('Cours Hebdo'!B18/'Cours Hebdo'!B17)</x:f>
        <x:v>0.013605652055778678</x:v>
      </x:c>
      <x:c r="C18" s="49" t="n">
        <x:f>LN('Cours Hebdo'!C18/'Cours Hebdo'!C17)</x:f>
        <x:v>0.004832295850996986</x:v>
      </x:c>
      <x:c r="D18" s="49" t="n">
        <x:f>LN('Cours Hebdo'!D18/'Cours Hebdo'!D17)</x:f>
        <x:v>0.027681597521556404</x:v>
      </x:c>
      <x:c r="E18" s="49" t="n">
        <x:f>LN('Cours Hebdo'!E18/'Cours Hebdo'!E17)</x:f>
        <x:v>0.005569068176163012</x:v>
      </x:c>
      <x:c r="F18" s="49" t="n">
        <x:f>LN('Cours Hebdo'!F18/'Cours Hebdo'!F17)</x:f>
        <x:v>0.108230116658997</x:v>
      </x:c>
      <x:c r="G18" s="49" t="n">
        <x:f>LN('Cours Hebdo'!G18/'Cours Hebdo'!G17)</x:f>
        <x:v>-0.008059570389913144</x:v>
      </x:c>
      <x:c r="H18" s="49" t="n">
        <x:f>LN('Cours Hebdo'!H18/'Cours Hebdo'!H17)</x:f>
        <x:v>0.011060014193616243</x:v>
      </x:c>
      <x:c r="I18" s="49" t="n">
        <x:f>LN('Cours Hebdo'!I18/'Cours Hebdo'!I17)</x:f>
        <x:v>0.011243835986186642</x:v>
      </x:c>
      <x:c r="J18" s="49" t="n">
        <x:f>LN('Cours Hebdo'!J18/'Cours Hebdo'!J17)</x:f>
        <x:v>0.006573500869577174</x:v>
      </x:c>
    </x:row>
    <x:row r="19">
      <x:c r="A19" s="18" t="n">
        <x:v>45583</x:v>
      </x:c>
      <x:c r="B19" s="49" t="n">
        <x:f>LN('Cours Hebdo'!B19/'Cours Hebdo'!B18)</x:f>
        <x:v>0.008968669982760316</x:v>
      </x:c>
      <x:c r="C19" s="49" t="n">
        <x:f>LN('Cours Hebdo'!C19/'Cours Hebdo'!C18)</x:f>
        <x:v>0.0046290395311694675</x:v>
      </x:c>
      <x:c r="D19" s="49" t="n">
        <x:f>LN('Cours Hebdo'!D19/'Cours Hebdo'!D18)</x:f>
        <x:v>0.05028456622259748</x:v>
      </x:c>
      <x:c r="E19" s="49" t="n">
        <x:f>LN('Cours Hebdo'!E19/'Cours Hebdo'!E18)</x:f>
        <x:v>0.03433739507603799</x:v>
      </x:c>
      <x:c r="F19" s="49" t="n">
        <x:f>LN('Cours Hebdo'!F19/'Cours Hebdo'!F18)</x:f>
        <x:v>0.058252604546090915</x:v>
      </x:c>
      <x:c r="G19" s="49" t="n">
        <x:f>LN('Cours Hebdo'!G19/'Cours Hebdo'!G18)</x:f>
        <x:v>0.03026194950694432</x:v>
      </x:c>
      <x:c r="H19" s="49" t="n">
        <x:f>LN('Cours Hebdo'!H19/'Cours Hebdo'!H18)</x:f>
        <x:v>0.008500293134096656</x:v>
      </x:c>
      <x:c r="I19" s="49" t="n">
        <x:f>LN('Cours Hebdo'!I19/'Cours Hebdo'!I18)</x:f>
        <x:v>0.007961020366371563</x:v>
      </x:c>
      <x:c r="J19" s="49" t="n">
        <x:f>LN('Cours Hebdo'!J19/'Cours Hebdo'!J18)</x:f>
        <x:v>0.005749960634858307</x:v>
      </x:c>
    </x:row>
    <x:row r="20">
      <x:c r="A20" s="18" t="n">
        <x:v>45590</x:v>
      </x:c>
      <x:c r="B20" s="49" t="n">
        <x:f>LN('Cours Hebdo'!B20/'Cours Hebdo'!B19)</x:f>
        <x:v>0.017699577099400857</x:v>
      </x:c>
      <x:c r="C20" s="49" t="n">
        <x:f>LN('Cours Hebdo'!C20/'Cours Hebdo'!C19)</x:f>
        <x:v>-0.0152888824121277</x:v>
      </x:c>
      <x:c r="D20" s="49" t="n">
        <x:f>LN('Cours Hebdo'!D20/'Cours Hebdo'!D19)</x:f>
        <x:v>-0.040871500068030225</x:v>
      </x:c>
      <x:c r="E20" s="49" t="n">
        <x:f>LN('Cours Hebdo'!E20/'Cours Hebdo'!E19)</x:f>
        <x:v>-0.05332701056351654</x:v>
      </x:c>
      <x:c r="F20" s="49" t="n">
        <x:f>LN('Cours Hebdo'!F20/'Cours Hebdo'!F19)</x:f>
        <x:v>0.03360079402823433</x:v>
      </x:c>
      <x:c r="G20" s="49" t="n">
        <x:f>LN('Cours Hebdo'!G20/'Cours Hebdo'!G19)</x:f>
        <x:v>-0.034189205687534044</x:v>
      </x:c>
      <x:c r="H20" s="49" t="n">
        <x:f>LN('Cours Hebdo'!H20/'Cours Hebdo'!H19)</x:f>
        <x:v>-0.009689242573923885</x:v>
      </x:c>
      <x:c r="I20" s="49" t="n">
        <x:f>LN('Cours Hebdo'!I20/'Cours Hebdo'!I19)</x:f>
        <x:v>0.0015703887790772418</x:v>
      </x:c>
      <x:c r="J20" s="49" t="n">
        <x:f>LN('Cours Hebdo'!J20/'Cours Hebdo'!J19)</x:f>
        <x:v>-0.011841473388302156</x:v>
      </x:c>
    </x:row>
    <x:row r="21">
      <x:c r="A21" s="18" t="n">
        <x:v>45597</x:v>
      </x:c>
      <x:c r="B21" s="49" t="n">
        <x:f>LN('Cours Hebdo'!B21/'Cours Hebdo'!B20)</x:f>
        <x:v>-0.03118292743668794</x:v>
      </x:c>
      <x:c r="C21" s="49" t="n">
        <x:f>LN('Cours Hebdo'!C21/'Cours Hebdo'!C20)</x:f>
        <x:v>-0.01186466626908824</x:v>
      </x:c>
      <x:c r="D21" s="49" t="n">
        <x:f>LN('Cours Hebdo'!D21/'Cours Hebdo'!D20)</x:f>
        <x:v>-0.018915649495534086</x:v>
      </x:c>
      <x:c r="E21" s="49" t="n">
        <x:f>LN('Cours Hebdo'!E21/'Cours Hebdo'!E20)</x:f>
        <x:v>0.061773115567796355</x:v>
      </x:c>
      <x:c r="F21" s="49" t="n">
        <x:f>LN('Cours Hebdo'!F21/'Cours Hebdo'!F20)</x:f>
        <x:v>-0.013305145070144036</x:v>
      </x:c>
      <x:c r="G21" s="49" t="n">
        <x:f>LN('Cours Hebdo'!G21/'Cours Hebdo'!G20)</x:f>
        <x:v>0.004938274007533508</x:v>
      </x:c>
      <x:c r="H21" s="49" t="n">
        <x:f>LN('Cours Hebdo'!H21/'Cours Hebdo'!H20)</x:f>
        <x:v>-0.013750908025073685</x:v>
      </x:c>
      <x:c r="I21" s="49" t="n">
        <x:f>LN('Cours Hebdo'!I21/'Cours Hebdo'!I20)</x:f>
        <x:v>-0.015163544267359996</x:v>
      </x:c>
      <x:c r="J21" s="49" t="n">
        <x:f>LN('Cours Hebdo'!J21/'Cours Hebdo'!J20)</x:f>
        <x:v>-0.015363858411164026</x:v>
      </x:c>
    </x:row>
    <x:row r="22">
      <x:c r="A22" s="18" t="n">
        <x:v>45604</x:v>
      </x:c>
      <x:c r="B22" s="49" t="n">
        <x:f>LN('Cours Hebdo'!B22/'Cours Hebdo'!B21)</x:f>
        <x:v>0.022372297754532984</x:v>
      </x:c>
      <x:c r="C22" s="49" t="n">
        <x:f>LN('Cours Hebdo'!C22/'Cours Hebdo'!C21)</x:f>
        <x:v>-0.009552689027278741</x:v>
      </x:c>
      <x:c r="D22" s="49" t="n">
        <x:f>LN('Cours Hebdo'!D22/'Cours Hebdo'!D21)</x:f>
        <x:v>0.08392912065064707</x:v>
      </x:c>
      <x:c r="E22" s="49" t="n">
        <x:f>LN('Cours Hebdo'!E22/'Cours Hebdo'!E21)</x:f>
        <x:v>0.2829075590315928</x:v>
      </x:c>
      <x:c r="F22" s="49" t="n">
        <x:f>LN('Cours Hebdo'!F22/'Cours Hebdo'!F21)</x:f>
        <x:v>0.1304123385863971</x:v>
      </x:c>
      <x:c r="G22" s="49" t="n">
        <x:f>LN('Cours Hebdo'!G22/'Cours Hebdo'!G21)</x:f>
        <x:v>0.1796444279073316</x:v>
      </x:c>
      <x:c r="H22" s="49" t="n">
        <x:f>LN('Cours Hebdo'!H22/'Cours Hebdo'!H21)</x:f>
        <x:v>0.04550981538327323</x:v>
      </x:c>
      <x:c r="I22" s="49" t="n">
        <x:f>LN('Cours Hebdo'!I22/'Cours Hebdo'!I21)</x:f>
        <x:v>0.055807256270852375</x:v>
      </x:c>
      <x:c r="J22" s="49" t="n">
        <x:f>LN('Cours Hebdo'!J22/'Cours Hebdo'!J21)</x:f>
        <x:v>-0.00839290061989012</x:v>
      </x:c>
    </x:row>
    <x:row r="23">
      <x:c r="A23" s="18" t="n">
        <x:v>45611</x:v>
      </x:c>
      <x:c r="B23" s="49" t="n">
        <x:f>LN('Cours Hebdo'!B23/'Cours Hebdo'!B22)</x:f>
        <x:v>0.008810629682154906</x:v>
      </x:c>
      <x:c r="C23" s="49" t="n">
        <x:f>LN('Cours Hebdo'!C23/'Cours Hebdo'!C22)</x:f>
        <x:v>-0.00945223660732304</x:v>
      </x:c>
      <x:c r="D23" s="49" t="n">
        <x:f>LN('Cours Hebdo'!D23/'Cours Hebdo'!D22)</x:f>
        <x:v>-0.017714326110424946</x:v>
      </x:c>
      <x:c r="E23" s="49" t="n">
        <x:f>LN('Cours Hebdo'!E23/'Cours Hebdo'!E22)</x:f>
        <x:v>0.09117427800812325</x:v>
      </x:c>
      <x:c r="F23" s="49" t="n">
        <x:f>LN('Cours Hebdo'!F23/'Cours Hebdo'!F22)</x:f>
        <x:v>-0.05584526586822052</x:v>
      </x:c>
      <x:c r="G23" s="49" t="n">
        <x:f>LN('Cours Hebdo'!G23/'Cours Hebdo'!G22)</x:f>
        <x:v>-0.0373101517818875</x:v>
      </x:c>
      <x:c r="H23" s="49" t="n">
        <x:f>LN('Cours Hebdo'!H23/'Cours Hebdo'!H22)</x:f>
        <x:v>-0.021055595970877056</x:v>
      </x:c>
      <x:c r="I23" s="49" t="n">
        <x:f>LN('Cours Hebdo'!I23/'Cours Hebdo'!I22)</x:f>
        <x:v>-0.0319600399011782</x:v>
      </x:c>
      <x:c r="J23" s="49" t="n">
        <x:f>LN('Cours Hebdo'!J23/'Cours Hebdo'!J22)</x:f>
        <x:v>-0.00695226324008415</x:v>
      </x:c>
    </x:row>
    <x:row r="24">
      <x:c r="A24" s="18" t="n">
        <x:v>45618</x:v>
      </x:c>
      <x:c r="B24" s="49" t="n">
        <x:f>LN('Cours Hebdo'!B24/'Cours Hebdo'!B23)</x:f>
        <x:v>-0.004395611473038109</x:v>
      </x:c>
      <x:c r="C24" s="49" t="n">
        <x:f>LN('Cours Hebdo'!C24/'Cours Hebdo'!C23)</x:f>
        <x:v>-0.0020131476551611726</x:v>
      </x:c>
      <x:c r="D24" s="49" t="n">
        <x:f>LN('Cours Hebdo'!D24/'Cours Hebdo'!D23)</x:f>
        <x:v>0.055583510801873355</x:v>
      </x:c>
      <x:c r="E24" s="49" t="n">
        <x:f>LN('Cours Hebdo'!E24/'Cours Hebdo'!E23)</x:f>
        <x:v>0.07745071951044676</x:v>
      </x:c>
      <x:c r="F24" s="49" t="n">
        <x:f>LN('Cours Hebdo'!F24/'Cours Hebdo'!F23)</x:f>
        <x:v>0.029399397065263955</x:v>
      </x:c>
      <x:c r="G24" s="49" t="n">
        <x:f>LN('Cours Hebdo'!G24/'Cours Hebdo'!G23)</x:f>
        <x:v>0.04645033974123707</x:v>
      </x:c>
      <x:c r="H24" s="49" t="n">
        <x:f>LN('Cours Hebdo'!H24/'Cours Hebdo'!H23)</x:f>
        <x:v>0.016676072323963606</x:v>
      </x:c>
      <x:c r="I24" s="49" t="n">
        <x:f>LN('Cours Hebdo'!I24/'Cours Hebdo'!I23)</x:f>
        <x:v>0.017171275776865506</x:v>
      </x:c>
      <x:c r="J24" s="49" t="n">
        <x:f>LN('Cours Hebdo'!J24/'Cours Hebdo'!J23)</x:f>
        <x:v>0.010577518568628047</x:v>
      </x:c>
    </x:row>
    <x:row r="25">
      <x:c r="A25" s="18" t="n">
        <x:v>45625</x:v>
      </x:c>
      <x:c r="B25" s="49" t="n">
        <x:f>LN('Cours Hebdo'!B25/'Cours Hebdo'!B24)</x:f>
        <x:v>-0.013303965626362815</x:v>
      </x:c>
      <x:c r="C25" s="49" t="n">
        <x:f>LN('Cours Hebdo'!C25/'Cours Hebdo'!C24)</x:f>
        <x:v>-0.0027466874483133468</x:v>
      </x:c>
      <x:c r="D25" s="49" t="n">
        <x:f>LN('Cours Hebdo'!D25/'Cours Hebdo'!D24)</x:f>
        <x:v>-0.011065824512861467</x:v>
      </x:c>
      <x:c r="E25" s="49" t="n">
        <x:f>LN('Cours Hebdo'!E25/'Cours Hebdo'!E24)</x:f>
        <x:v>-0.014197133760972567</x:v>
      </x:c>
      <x:c r="F25" s="49" t="n">
        <x:f>LN('Cours Hebdo'!F25/'Cours Hebdo'!F24)</x:f>
        <x:v>0.013667722908694627</x:v>
      </x:c>
      <x:c r="G25" s="49" t="n">
        <x:f>LN('Cours Hebdo'!G25/'Cours Hebdo'!G24)</x:f>
        <x:v>0.01690295057667031</x:v>
      </x:c>
      <x:c r="H25" s="49" t="n">
        <x:f>LN('Cours Hebdo'!H25/'Cours Hebdo'!H24)</x:f>
        <x:v>0.010505264288612167</x:v>
      </x:c>
      <x:c r="I25" s="49" t="n">
        <x:f>LN('Cours Hebdo'!I25/'Cours Hebdo'!I24)</x:f>
        <x:v>0.011225095089441752</x:v>
      </x:c>
      <x:c r="J25" s="49" t="n">
        <x:f>LN('Cours Hebdo'!J25/'Cours Hebdo'!J24)</x:f>
        <x:v>0.0034945825911436544</x:v>
      </x:c>
    </x:row>
    <x:row r="26">
      <x:c r="A26" s="18" t="n">
        <x:v>45632</x:v>
      </x:c>
      <x:c r="B26" s="49" t="n">
        <x:f>LN('Cours Hebdo'!B26/'Cours Hebdo'!B25)</x:f>
        <x:v>-0.022574322038539065</x:v>
      </x:c>
      <x:c r="C26" s="49" t="n">
        <x:f>LN('Cours Hebdo'!C26/'Cours Hebdo'!C25)</x:f>
        <x:v>0.026160290572382467</x:v>
      </x:c>
      <x:c r="D26" s="49" t="n">
        <x:f>LN('Cours Hebdo'!D26/'Cours Hebdo'!D25)</x:f>
        <x:v>0.035174808239855526</x:v>
      </x:c>
      <x:c r="E26" s="49" t="n">
        <x:f>LN('Cours Hebdo'!E26/'Cours Hebdo'!E25)</x:f>
        <x:v>0.07667776686711893</x:v>
      </x:c>
      <x:c r="F26" s="49" t="n">
        <x:f>LN('Cours Hebdo'!F26/'Cours Hebdo'!F25)</x:f>
        <x:v>-0.11549349038785843</x:v>
      </x:c>
      <x:c r="G26" s="49" t="n">
        <x:f>LN('Cours Hebdo'!G26/'Cours Hebdo'!G25)</x:f>
        <x:v>0.056083863782023104</x:v>
      </x:c>
      <x:c r="H26" s="49" t="n">
        <x:f>LN('Cours Hebdo'!H26/'Cours Hebdo'!H25)</x:f>
        <x:v>0.009550812278895478</x:v>
      </x:c>
      <x:c r="I26" s="49" t="n">
        <x:f>LN('Cours Hebdo'!I26/'Cours Hebdo'!I25)</x:f>
        <x:v>0.032839872255052194</x:v>
      </x:c>
      <x:c r="J26" s="49" t="n">
        <x:f>LN('Cours Hebdo'!J26/'Cours Hebdo'!J25)</x:f>
        <x:v>0.01983139152712314</x:v>
      </x:c>
    </x:row>
    <x:row r="27">
      <x:c r="A27" s="18" t="n">
        <x:v>45639</x:v>
      </x:c>
      <x:c r="B27" s="49" t="n">
        <x:f>LN('Cours Hebdo'!B27/'Cours Hebdo'!B26)</x:f>
        <x:v>0.018100041643617937</x:v>
      </x:c>
      <x:c r="C27" s="49" t="n">
        <x:f>LN('Cours Hebdo'!C27/'Cours Hebdo'!C26)</x:f>
        <x:v>-0.0023334513027032295</x:v>
      </x:c>
      <x:c r="D27" s="49" t="n">
        <x:f>LN('Cours Hebdo'!D27/'Cours Hebdo'!D26)</x:f>
        <x:v>-0.005777246689675988</x:v>
      </x:c>
      <x:c r="E27" s="49" t="n">
        <x:f>LN('Cours Hebdo'!E27/'Cours Hebdo'!E26)</x:f>
        <x:v>-0.10341197630712354</x:v>
      </x:c>
      <x:c r="F27" s="49" t="n">
        <x:f>LN('Cours Hebdo'!F27/'Cours Hebdo'!F26)</x:f>
        <x:v>-0.05353276945378778</x:v>
      </x:c>
      <x:c r="G27" s="49" t="n">
        <x:f>LN('Cours Hebdo'!G27/'Cours Hebdo'!G26)</x:f>
        <x:v>0.009771297401636682</x:v>
      </x:c>
      <x:c r="H27" s="49" t="n">
        <x:f>LN('Cours Hebdo'!H27/'Cours Hebdo'!H26)</x:f>
        <x:v>-0.006454023638973548</x:v>
      </x:c>
      <x:c r="I27" s="49" t="n">
        <x:f>LN('Cours Hebdo'!I27/'Cours Hebdo'!I26)</x:f>
        <x:v>0.003365526070563612</x:v>
      </x:c>
      <x:c r="J27" s="49" t="n">
        <x:f>LN('Cours Hebdo'!J27/'Cours Hebdo'!J26)</x:f>
        <x:v>-0.0077536911280109925</x:v>
      </x:c>
    </x:row>
    <x:row r="28">
      <x:c r="A28" s="18" t="n">
        <x:v>45646</x:v>
      </x:c>
      <x:c r="B28" s="49" t="n">
        <x:f>LN('Cours Hebdo'!B28/'Cours Hebdo'!B27)</x:f>
        <x:v>0.022173857494322075</x:v>
      </x:c>
      <x:c r="C28" s="49" t="n">
        <x:f>LN('Cours Hebdo'!C28/'Cours Hebdo'!C27)</x:f>
        <x:v>-0.018400054056280153</x:v>
      </x:c>
      <x:c r="D28" s="49" t="n">
        <x:f>LN('Cours Hebdo'!D28/'Cours Hebdo'!D27)</x:f>
        <x:v>-0.006756256387259141</x:v>
      </x:c>
      <x:c r="E28" s="49" t="n">
        <x:f>LN('Cours Hebdo'!E28/'Cours Hebdo'!E27)</x:f>
        <x:v>0.018945090433871794</x:v>
      </x:c>
      <x:c r="F28" s="49" t="n">
        <x:f>LN('Cours Hebdo'!F28/'Cours Hebdo'!F27)</x:f>
        <x:v>-0.006791137100034815</x:v>
      </x:c>
      <x:c r="G28" s="49" t="n">
        <x:f>LN('Cours Hebdo'!G28/'Cours Hebdo'!G27)</x:f>
        <x:v>0.09987709836284583</x:v>
      </x:c>
      <x:c r="H28" s="49" t="n">
        <x:f>LN('Cours Hebdo'!H28/'Cours Hebdo'!H27)</x:f>
        <x:v>-0.020070837124528663</x:v>
      </x:c>
      <x:c r="I28" s="49" t="n">
        <x:f>LN('Cours Hebdo'!I28/'Cours Hebdo'!I27)</x:f>
        <x:v>-0.017930970911581343</x:v>
      </x:c>
      <x:c r="J28" s="49" t="n">
        <x:f>LN('Cours Hebdo'!J28/'Cours Hebdo'!J27)</x:f>
        <x:v>-0.027999963087820667</x:v>
      </x:c>
    </x:row>
    <x:row r="29">
      <x:c r="A29" s="18" t="n">
        <x:v>45653</x:v>
      </x:c>
      <x:c r="B29" s="49" t="n">
        <x:f>LN('Cours Hebdo'!B29/'Cours Hebdo'!B28)</x:f>
        <x:v>-0.026668247082161294</x:v>
      </x:c>
      <x:c r="C29" s="49" t="n">
        <x:f>LN('Cours Hebdo'!C29/'Cours Hebdo'!C28)</x:f>
        <x:v>0.011058344479905622</x:v>
      </x:c>
      <x:c r="D29" s="49" t="n">
        <x:f>LN('Cours Hebdo'!D29/'Cours Hebdo'!D28)</x:f>
        <x:v>-0.03578973847241602</x:v>
      </x:c>
      <x:c r="E29" s="49" t="n">
        <x:f>LN('Cours Hebdo'!E29/'Cours Hebdo'!E28)</x:f>
        <x:v>-0.02924377286225795</x:v>
      </x:c>
      <x:c r="F29" s="49" t="n">
        <x:f>LN('Cours Hebdo'!F29/'Cours Hebdo'!F28)</x:f>
        <x:v>-0.022685851513341293</x:v>
      </x:c>
      <x:c r="G29" s="49" t="n">
        <x:f>LN('Cours Hebdo'!G29/'Cours Hebdo'!G28)</x:f>
        <x:v>-0.03231657956254311</x:v>
      </x:c>
      <x:c r="H29" s="49" t="n">
        <x:f>LN('Cours Hebdo'!H29/'Cours Hebdo'!H28)</x:f>
        <x:v>0.006720036697572925</x:v>
      </x:c>
      <x:c r="I29" s="49" t="n">
        <x:f>LN('Cours Hebdo'!I29/'Cours Hebdo'!I28)</x:f>
        <x:v>0.007605640362641206</x:v>
      </x:c>
      <x:c r="J29" s="49" t="n">
        <x:f>LN('Cours Hebdo'!J29/'Cours Hebdo'!J28)</x:f>
        <x:v>0.009887416726581739</x:v>
      </x:c>
    </x:row>
    <x:row r="30">
      <x:c r="A30" s="18" t="n">
        <x:v>45660</x:v>
      </x:c>
      <x:c r="B30" s="49" t="n">
        <x:f>LN('Cours Hebdo'!B30/'Cours Hebdo'!B29)</x:f>
        <x:v>0.008968669982760316</x:v>
      </x:c>
      <x:c r="C30" s="49" t="n">
        <x:f>LN('Cours Hebdo'!C30/'Cours Hebdo'!C29)</x:f>
        <x:v>-0.009994884354928218</x:v>
      </x:c>
      <x:c r="D30" s="49" t="n">
        <x:f>LN('Cours Hebdo'!D30/'Cours Hebdo'!D29)</x:f>
        <x:v>0.007163798565428844</x:v>
      </x:c>
      <x:c r="E30" s="49" t="n">
        <x:f>LN('Cours Hebdo'!E30/'Cours Hebdo'!E29)</x:f>
        <x:v>0.014842097093772844</x:v>
      </x:c>
      <x:c r="F30" s="49" t="n">
        <x:f>LN('Cours Hebdo'!F30/'Cours Hebdo'!F29)</x:f>
        <x:v>-0.010511063498533006</x:v>
      </x:c>
      <x:c r="G30" s="49" t="n">
        <x:f>LN('Cours Hebdo'!G30/'Cours Hebdo'!G29)</x:f>
        <x:v>0.0019777175174105865</x:v>
      </x:c>
      <x:c r="H30" s="49" t="n">
        <x:f>LN('Cours Hebdo'!H30/'Cours Hebdo'!H29)</x:f>
        <x:v>-0.004762686842334919</x:v>
      </x:c>
      <x:c r="I30" s="49" t="n">
        <x:f>LN('Cours Hebdo'!I30/'Cours Hebdo'!I29)</x:f>
        <x:v>-0.005101187944628095</x:v>
      </x:c>
      <x:c r="J30" s="49" t="n">
        <x:f>LN('Cours Hebdo'!J30/'Cours Hebdo'!J29)</x:f>
        <x:v>0.001989442476352308</x:v>
      </x:c>
    </x:row>
    <x:row r="31">
      <x:c r="A31" s="18" t="n">
        <x:v>45667</x:v>
      </x:c>
      <x:c r="B31" s="49" t="n">
        <x:f>LN('Cours Hebdo'!B31/'Cours Hebdo'!B30)</x:f>
        <x:v>0.043675063502661635</x:v>
      </x:c>
      <x:c r="C31" s="49" t="n">
        <x:f>LN('Cours Hebdo'!C31/'Cours Hebdo'!C30)</x:f>
        <x:v>0.02023003699336257</x:v>
      </x:c>
      <x:c r="D31" s="49" t="n">
        <x:f>LN('Cours Hebdo'!D31/'Cours Hebdo'!D30)</x:f>
        <x:v>-0.10204924719372357</x:v>
      </x:c>
      <x:c r="E31" s="49" t="n">
        <x:f>LN('Cours Hebdo'!E31/'Cours Hebdo'!E30)</x:f>
        <x:v>-0.058813039588545085</x:v>
      </x:c>
      <x:c r="F31" s="49" t="n">
        <x:f>LN('Cours Hebdo'!F31/'Cours Hebdo'!F30)</x:f>
        <x:v>-0.045947092789223216</x:v>
      </x:c>
      <x:c r="G31" s="49" t="n">
        <x:f>LN('Cours Hebdo'!G31/'Cours Hebdo'!G30)</x:f>
        <x:v>-0.050560907804438684</x:v>
      </x:c>
      <x:c r="H31" s="49" t="n">
        <x:f>LN('Cours Hebdo'!H31/'Cours Hebdo'!H30)</x:f>
        <x:v>-0.019615748576220924</x:v>
      </x:c>
      <x:c r="I31" s="49" t="n">
        <x:f>LN('Cours Hebdo'!I31/'Cours Hebdo'!I30)</x:f>
        <x:v>-0.02372517461465537</x:v>
      </x:c>
      <x:c r="J31" s="49" t="n">
        <x:f>LN('Cours Hebdo'!J31/'Cours Hebdo'!J30)</x:f>
        <x:v>0.006492187187501489</x:v>
      </x:c>
    </x:row>
    <x:row r="32">
      <x:c r="A32" s="18" t="n">
        <x:v>45674</x:v>
      </x:c>
      <x:c r="B32" s="49" t="n">
        <x:f>LN('Cours Hebdo'!B32/'Cours Hebdo'!B31)</x:f>
        <x:v>-0.03037109787629876</x:v>
      </x:c>
      <x:c r="C32" s="49" t="n">
        <x:f>LN('Cours Hebdo'!C32/'Cours Hebdo'!C31)</x:f>
        <x:v>0.036819934354876176</x:v>
      </x:c>
      <x:c r="D32" s="49" t="n">
        <x:f>LN('Cours Hebdo'!D32/'Cours Hebdo'!D31)</x:f>
        <x:v>0.06923242076814308</x:v>
      </x:c>
      <x:c r="E32" s="49" t="n">
        <x:f>LN('Cours Hebdo'!E32/'Cours Hebdo'!E31)</x:f>
        <x:v>0.06626484853647002</x:v>
      </x:c>
      <x:c r="F32" s="49" t="n">
        <x:f>LN('Cours Hebdo'!F32/'Cours Hebdo'!F31)</x:f>
        <x:v>0.021283890556301848</x:v>
      </x:c>
      <x:c r="G32" s="49" t="n">
        <x:f>LN('Cours Hebdo'!G32/'Cours Hebdo'!G31)</x:f>
        <x:v>0.05664920947892531</x:v>
      </x:c>
      <x:c r="H32" s="49" t="n">
        <x:f>LN('Cours Hebdo'!H32/'Cours Hebdo'!H31)</x:f>
        <x:v>0.028693514184263167</x:v>
      </x:c>
      <x:c r="I32" s="49" t="n">
        <x:f>LN('Cours Hebdo'!I32/'Cours Hebdo'!I31)</x:f>
        <x:v>0.024159270083263806</x:v>
      </x:c>
      <x:c r="J32" s="49" t="n">
        <x:f>LN('Cours Hebdo'!J32/'Cours Hebdo'!J31)</x:f>
        <x:v>0.02341863568648678</x:v>
      </x:c>
    </x:row>
    <x:row r="33">
      <x:c r="A33" s="18" t="n">
        <x:v>45681</x:v>
      </x:c>
      <x:c r="B33" s="49" t="n">
        <x:f>LN('Cours Hebdo'!B33/'Cours Hebdo'!B32)</x:f>
        <x:v>0.06811142585914588</x:v>
      </x:c>
      <x:c r="C33" s="49" t="n">
        <x:f>LN('Cours Hebdo'!C33/'Cours Hebdo'!C32)</x:f>
        <x:v>0.02786711765068643</x:v>
      </x:c>
      <x:c r="D33" s="49" t="n">
        <x:f>LN('Cours Hebdo'!D33/'Cours Hebdo'!D32)</x:f>
        <x:v>0.013487800084157031</x:v>
      </x:c>
      <x:c r="E33" s="49" t="n">
        <x:f>LN('Cours Hebdo'!E33/'Cours Hebdo'!E32)</x:f>
        <x:v>0.054505182042665225</x:v>
      </x:c>
      <x:c r="F33" s="49" t="n">
        <x:f>LN('Cours Hebdo'!F33/'Cours Hebdo'!F32)</x:f>
        <x:v>-0.020362410564337963</x:v>
      </x:c>
      <x:c r="G33" s="49" t="n">
        <x:f>LN('Cours Hebdo'!G33/'Cours Hebdo'!G32)</x:f>
        <x:v>-0.14405570317103258</x:v>
      </x:c>
      <x:c r="H33" s="49" t="n">
        <x:f>LN('Cours Hebdo'!H33/'Cours Hebdo'!H32)</x:f>
        <x:v>0.01728939400265198</x:v>
      </x:c>
      <x:c r="I33" s="49" t="n">
        <x:f>LN('Cours Hebdo'!I33/'Cours Hebdo'!I32)</x:f>
        <x:v>0.016375541184687165</x:v>
      </x:c>
      <x:c r="J33" s="49" t="n">
        <x:f>LN('Cours Hebdo'!J33/'Cours Hebdo'!J32)</x:f>
        <x:v>0.01224286603595608</x:v>
      </x:c>
    </x:row>
    <x:row r="34">
      <x:c r="A34" s="18" t="n">
        <x:v>45688</x:v>
      </x:c>
      <x:c r="B34" s="49" t="n">
        <x:f>LN('Cours Hebdo'!B34/'Cours Hebdo'!B33)</x:f>
        <x:v>0.04032804538697181</x:v>
      </x:c>
      <x:c r="C34" s="49" t="n">
        <x:f>LN('Cours Hebdo'!C34/'Cours Hebdo'!C33)</x:f>
        <x:v>0.0028404229798998045</x:v>
      </x:c>
      <x:c r="D34" s="49" t="n">
        <x:f>LN('Cours Hebdo'!D34/'Cours Hebdo'!D33)</x:f>
        <x:v>0.05455458437206267</x:v>
      </x:c>
      <x:c r="E34" s="49" t="n">
        <x:f>LN('Cours Hebdo'!E34/'Cours Hebdo'!E33)</x:f>
        <x:v>0.030319652476517547</x:v>
      </x:c>
      <x:c r="F34" s="49" t="n">
        <x:f>LN('Cours Hebdo'!F34/'Cours Hebdo'!F33)</x:f>
        <x:v>0.04326293974864846</x:v>
      </x:c>
      <x:c r="G34" s="49" t="n">
        <x:f>LN('Cours Hebdo'!G34/'Cours Hebdo'!G33)</x:f>
        <x:v>0.012498894535969788</x:v>
      </x:c>
      <x:c r="H34" s="49" t="n">
        <x:f>LN('Cours Hebdo'!H34/'Cours Hebdo'!H33)</x:f>
        <x:v>-0.010000346749402011</x:v>
      </x:c>
      <x:c r="I34" s="49" t="n">
        <x:f>LN('Cours Hebdo'!I34/'Cours Hebdo'!I33)</x:f>
        <x:v>-0.016516138822391006</x:v>
      </x:c>
      <x:c r="J34" s="49" t="n">
        <x:f>LN('Cours Hebdo'!J34/'Cours Hebdo'!J33)</x:f>
        <x:v>0.017689357382342393</x:v>
      </x:c>
    </x:row>
    <x:row r="35">
      <x:c r="A35" s="18" t="n">
        <x:v>45695</x:v>
      </x:c>
      <x:c r="B35" s="49" t="n">
        <x:f>LN('Cours Hebdo'!B35/'Cours Hebdo'!B34)</x:f>
        <x:v>0.007874056430905866</x:v>
      </x:c>
      <x:c r="C35" s="49" t="n">
        <x:f>LN('Cours Hebdo'!C35/'Cours Hebdo'!C34)</x:f>
        <x:v>0.002871267007498629</x:v>
      </x:c>
      <x:c r="D35" s="49" t="n">
        <x:f>LN('Cours Hebdo'!D35/'Cours Hebdo'!D34)</x:f>
        <x:v>0.01214209819710935</x:v>
      </x:c>
      <x:c r="E35" s="49" t="n">
        <x:f>LN('Cours Hebdo'!E35/'Cours Hebdo'!E34)</x:f>
        <x:v>-0.44310801293581314</x:v>
      </x:c>
      <x:c r="F35" s="49" t="n">
        <x:f>LN('Cours Hebdo'!F35/'Cours Hebdo'!F34)</x:f>
        <x:v>-0.04726236275299835</x:v>
      </x:c>
      <x:c r="G35" s="49" t="n">
        <x:f>LN('Cours Hebdo'!G35/'Cours Hebdo'!G34)</x:f>
        <x:v>0.007101551103402802</x:v>
      </x:c>
      <x:c r="H35" s="49" t="n">
        <x:f>LN('Cours Hebdo'!H35/'Cours Hebdo'!H34)</x:f>
        <x:v>-0.002409900749246593</x:v>
      </x:c>
      <x:c r="I35" s="49" t="n">
        <x:f>LN('Cours Hebdo'!I35/'Cours Hebdo'!I34)</x:f>
        <x:v>-0.005314793134176005</x:v>
      </x:c>
      <x:c r="J35" s="49" t="n">
        <x:f>LN('Cours Hebdo'!J35/'Cours Hebdo'!J34)</x:f>
        <x:v>0.005950364261934768</x:v>
      </x:c>
    </x:row>
    <x:row r="36">
      <x:c r="A36" s="18" t="n">
        <x:v>45702</x:v>
      </x:c>
      <x:c r="B36" s="49" t="n">
        <x:f>LN('Cours Hebdo'!B36/'Cours Hebdo'!B35)</x:f>
        <x:v>-0.011834457647002796</x:v>
      </x:c>
      <x:c r="C36" s="49" t="n">
        <x:f>LN('Cours Hebdo'!C36/'Cours Hebdo'!C35)</x:f>
        <x:v>0.025449086087034417</x:v>
      </x:c>
      <x:c r="D36" s="49" t="n">
        <x:f>LN('Cours Hebdo'!D36/'Cours Hebdo'!D35)</x:f>
        <x:v>-0.2296243330912004</x:v>
      </x:c>
      <x:c r="E36" s="49" t="n">
        <x:f>LN('Cours Hebdo'!E36/'Cours Hebdo'!E35)</x:f>
        <x:v>-0.037888933166986286</x:v>
      </x:c>
      <x:c r="F36" s="49" t="n">
        <x:f>LN('Cours Hebdo'!F36/'Cours Hebdo'!F35)</x:f>
        <x:v>0.05429437779428484</x:v>
      </x:c>
      <x:c r="G36" s="49" t="n">
        <x:f>LN('Cours Hebdo'!G36/'Cours Hebdo'!G35)</x:f>
        <x:v>-0.10477656119841718</x:v>
      </x:c>
      <x:c r="H36" s="49" t="n">
        <x:f>LN('Cours Hebdo'!H36/'Cours Hebdo'!H35)</x:f>
        <x:v>0.014602421068142572</x:v>
      </x:c>
      <x:c r="I36" s="49" t="n">
        <x:f>LN('Cours Hebdo'!I36/'Cours Hebdo'!I35)</x:f>
        <x:v>0.025456089002012825</x:v>
      </x:c>
      <x:c r="J36" s="49" t="n">
        <x:f>LN('Cours Hebdo'!J36/'Cours Hebdo'!J35)</x:f>
        <x:v>0.0176416668218187</x:v>
      </x:c>
    </x:row>
    <x:row r="37">
      <x:c r="A37" s="18" t="n">
        <x:v>45709</x:v>
      </x:c>
      <x:c r="B37" s="49" t="n">
        <x:f>LN('Cours Hebdo'!B37/'Cours Hebdo'!B36)</x:f>
        <x:v>0.03509131981127019</x:v>
      </x:c>
      <x:c r="C37" s="49" t="n">
        <x:f>LN('Cours Hebdo'!C37/'Cours Hebdo'!C36)</x:f>
        <x:v>-0.0029425356640346433</x:v>
      </x:c>
      <x:c r="D37" s="49" t="n">
        <x:f>LN('Cours Hebdo'!D37/'Cours Hebdo'!D36)</x:f>
        <x:v>-0.04519531996307755</x:v>
      </x:c>
      <x:c r="E37" s="49" t="n">
        <x:f>LN('Cours Hebdo'!E37/'Cours Hebdo'!E36)</x:f>
        <x:v>-0.12615550323913166</x:v>
      </x:c>
      <x:c r="F37" s="49" t="n">
        <x:f>LN('Cours Hebdo'!F37/'Cours Hebdo'!F36)</x:f>
        <x:v>-0.06607737469179974</x:v>
      </x:c>
      <x:c r="G37" s="49" t="n">
        <x:f>LN('Cours Hebdo'!G37/'Cours Hebdo'!G36)</x:f>
        <x:v>-0.0536120706483877</x:v>
      </x:c>
      <x:c r="H37" s="49" t="n">
        <x:f>LN('Cours Hebdo'!H37/'Cours Hebdo'!H36)</x:f>
        <x:v>-0.016738849034453527</x:v>
      </x:c>
      <x:c r="I37" s="49" t="n">
        <x:f>LN('Cours Hebdo'!I37/'Cours Hebdo'!I36)</x:f>
        <x:v>-0.025424876944792667</x:v>
      </x:c>
      <x:c r="J37" s="49" t="n">
        <x:f>LN('Cours Hebdo'!J37/'Cours Hebdo'!J36)</x:f>
        <x:v>0.002603372302080889</x:v>
      </x:c>
    </x:row>
    <x:row r="38">
      <x:c r="A38" s="18" t="n">
        <x:v>45716</x:v>
      </x:c>
      <x:c r="B38" s="49" t="n">
        <x:f>LN('Cours Hebdo'!B38/'Cours Hebdo'!B37)</x:f>
        <x:v>0.026466573188163273</x:v>
      </x:c>
      <x:c r="C38" s="49" t="n">
        <x:f>LN('Cours Hebdo'!C38/'Cours Hebdo'!C37)</x:f>
        <x:v>-0.005272299767175069</x:v>
      </x:c>
      <x:c r="D38" s="49" t="n">
        <x:f>LN('Cours Hebdo'!D38/'Cours Hebdo'!D37)</x:f>
        <x:v>-0.016427458860831908</x:v>
      </x:c>
      <x:c r="E38" s="49" t="n">
        <x:f>LN('Cours Hebdo'!E38/'Cours Hebdo'!E37)</x:f>
        <x:v>0.04577842224331384</x:v>
      </x:c>
      <x:c r="F38" s="49" t="n">
        <x:f>LN('Cours Hebdo'!F38/'Cours Hebdo'!F37)</x:f>
        <x:v>-0.02367167173521453</x:v>
      </x:c>
      <x:c r="G38" s="49" t="n">
        <x:f>LN('Cours Hebdo'!G38/'Cours Hebdo'!G37)</x:f>
        <x:v>0.035944508021531554</x:v>
      </x:c>
      <x:c r="H38" s="49" t="n">
        <x:f>LN('Cours Hebdo'!H38/'Cours Hebdo'!H37)</x:f>
        <x:v>-0.009798155932925854</x:v>
      </x:c>
      <x:c r="I38" s="49" t="n">
        <x:f>LN('Cours Hebdo'!I38/'Cours Hebdo'!I37)</x:f>
        <x:v>-0.03527640911692377</x:v>
      </x:c>
      <x:c r="J38" s="49" t="n">
        <x:f>LN('Cours Hebdo'!J38/'Cours Hebdo'!J37)</x:f>
        <x:v>0.006012451366699871</x:v>
      </x:c>
    </x:row>
    <x:row r="39">
      <x:c r="A39" s="18" t="n">
        <x:v>45723</x:v>
      </x:c>
      <x:c r="B39" s="49" t="n">
        <x:f>LN('Cours Hebdo'!B39/'Cours Hebdo'!B38)</x:f>
        <x:v>-0.03802739558923925</x:v>
      </x:c>
      <x:c r="C39" s="49" t="n">
        <x:f>LN('Cours Hebdo'!C39/'Cours Hebdo'!C38)</x:f>
        <x:v>0.001129827515287985</x:v>
      </x:c>
      <x:c r="D39" s="49" t="n">
        <x:f>LN('Cours Hebdo'!D39/'Cours Hebdo'!D38)</x:f>
        <x:v>0.0119367918524453</x:v>
      </x:c>
      <x:c r="E39" s="49" t="n">
        <x:f>LN('Cours Hebdo'!E39/'Cours Hebdo'!E38)</x:f>
        <x:v>-0.155721940244629</x:v>
      </x:c>
      <x:c r="F39" s="49" t="n">
        <x:f>LN('Cours Hebdo'!F39/'Cours Hebdo'!F38)</x:f>
        <x:v>-0.025227689043588453</x:v>
      </x:c>
      <x:c r="G39" s="49" t="n">
        <x:f>LN('Cours Hebdo'!G39/'Cours Hebdo'!G38)</x:f>
        <x:v>-0.019032743647738957</x:v>
      </x:c>
      <x:c r="H39" s="49" t="n">
        <x:f>LN('Cours Hebdo'!H39/'Cours Hebdo'!H38)</x:f>
        <x:v>-0.0314404604130798</x:v>
      </x:c>
      <x:c r="I39" s="49" t="n">
        <x:f>LN('Cours Hebdo'!I39/'Cours Hebdo'!I38)</x:f>
        <x:v>-0.03515465024823139</x:v>
      </x:c>
      <x:c r="J39" s="49" t="n">
        <x:f>LN('Cours Hebdo'!J39/'Cours Hebdo'!J38)</x:f>
        <x:v>-0.006915630658678005</x:v>
      </x:c>
    </x:row>
    <x:row r="40">
      <x:c r="A40" s="18" t="n">
        <x:v>45730</x:v>
      </x:c>
      <x:c r="B40" s="49" t="n">
        <x:f>LN('Cours Hebdo'!B40/'Cours Hebdo'!B39)</x:f>
        <x:v>-0.011696039763191298</x:v>
      </x:c>
      <x:c r="C40" s="49" t="n">
        <x:f>LN('Cours Hebdo'!C40/'Cours Hebdo'!C39)</x:f>
        <x:v>-0.011458365944933845</x:v>
      </x:c>
      <x:c r="D40" s="49" t="n">
        <x:f>LN('Cours Hebdo'!D40/'Cours Hebdo'!D39)</x:f>
        <x:v>0.020452232923875765</x:v>
      </x:c>
      <x:c r="E40" s="49" t="n">
        <x:f>LN('Cours Hebdo'!E40/'Cours Hebdo'!E39)</x:f>
        <x:v>-0.017510665458880442</x:v>
      </x:c>
      <x:c r="F40" s="49" t="n">
        <x:f>LN('Cours Hebdo'!F40/'Cours Hebdo'!F39)</x:f>
        <x:v>-0.07443558959090912</x:v>
      </x:c>
      <x:c r="G40" s="49" t="n">
        <x:f>LN('Cours Hebdo'!G40/'Cours Hebdo'!G39)</x:f>
        <x:v>0.019261285551394614</x:v>
      </x:c>
      <x:c r="H40" s="49" t="n">
        <x:f>LN('Cours Hebdo'!H40/'Cours Hebdo'!H39)</x:f>
        <x:v>-0.02301068161974125</x:v>
      </x:c>
      <x:c r="I40" s="49" t="n">
        <x:f>LN('Cours Hebdo'!I40/'Cours Hebdo'!I39)</x:f>
        <x:v>-0.024598015732637733</x:v>
      </x:c>
      <x:c r="J40" s="49" t="n">
        <x:f>LN('Cours Hebdo'!J40/'Cours Hebdo'!J39)</x:f>
        <x:v>-0.012273439761673409</x:v>
      </x:c>
    </x:row>
    <x:row r="41">
      <x:c r="A41" s="18" t="n">
        <x:v>45737</x:v>
      </x:c>
      <x:c r="B41" s="49" t="n">
        <x:f>LN('Cours Hebdo'!B41/'Cours Hebdo'!B40)</x:f>
        <x:v>-0.03593200922606333</x:v>
      </x:c>
      <x:c r="C41" s="49" t="n">
        <x:f>LN('Cours Hebdo'!C41/'Cours Hebdo'!C40)</x:f>
        <x:v>0.0018256741081909306</x:v>
      </x:c>
      <x:c r="D41" s="49" t="n">
        <x:f>LN('Cours Hebdo'!D41/'Cours Hebdo'!D40)</x:f>
        <x:v>0.007985698749831247</x:v>
      </x:c>
      <x:c r="E41" s="49" t="n">
        <x:f>LN('Cours Hebdo'!E41/'Cours Hebdo'!E40)</x:f>
        <x:v>0.03180255419562906</x:v>
      </x:c>
      <x:c r="F41" s="49" t="n">
        <x:f>LN('Cours Hebdo'!F41/'Cours Hebdo'!F40)</x:f>
        <x:v>0.0056298476278824556</x:v>
      </x:c>
      <x:c r="G41" s="49" t="n">
        <x:f>LN('Cours Hebdo'!G41/'Cours Hebdo'!G40)</x:f>
        <x:v>-0.0035474952923063535</x:v>
      </x:c>
      <x:c r="H41" s="49" t="n">
        <x:f>LN('Cours Hebdo'!H41/'Cours Hebdo'!H40)</x:f>
        <x:v>0.005062606167289572</x:v>
      </x:c>
      <x:c r="I41" s="49" t="n">
        <x:f>LN('Cours Hebdo'!I41/'Cours Hebdo'!I40)</x:f>
        <x:v>0.0016861289910730854</x:v>
      </x:c>
      <x:c r="J41" s="49" t="n">
        <x:f>LN('Cours Hebdo'!J41/'Cours Hebdo'!J40)</x:f>
        <x:v>0.005600838234736702</x:v>
      </x:c>
    </x:row>
    <x:row r="42">
      <x:c r="A42" s="18" t="n">
        <x:v>45744</x:v>
      </x:c>
      <x:c r="B42" s="49" t="n">
        <x:f>LN('Cours Hebdo'!B42/'Cours Hebdo'!B41)</x:f>
        <x:v>-0.016393809775676383</x:v>
      </x:c>
      <x:c r="C42" s="49" t="n">
        <x:f>LN('Cours Hebdo'!C42/'Cours Hebdo'!C41)</x:f>
        <x:v>-0.01589981192784267</x:v>
      </x:c>
      <x:c r="D42" s="49" t="n">
        <x:f>LN('Cours Hebdo'!D42/'Cours Hebdo'!D41)</x:f>
        <x:v>-0.029871030354331758</x:v>
      </x:c>
      <x:c r="E42" s="49" t="n">
        <x:f>LN('Cours Hebdo'!E42/'Cours Hebdo'!E41)</x:f>
        <x:v>-0.035471451638101864</x:v>
      </x:c>
      <x:c r="F42" s="49" t="n">
        <x:f>LN('Cours Hebdo'!F42/'Cours Hebdo'!F41)</x:f>
        <x:v>0.014629312654062419</x:v>
      </x:c>
      <x:c r="G42" s="49" t="n">
        <x:f>LN('Cours Hebdo'!G42/'Cours Hebdo'!G41)</x:f>
        <x:v>-0.10252402709389959</x:v>
      </x:c>
      <x:c r="H42" s="49" t="n">
        <x:f>LN('Cours Hebdo'!H42/'Cours Hebdo'!H41)</x:f>
        <x:v>-0.015401489872290883</x:v>
      </x:c>
      <x:c r="I42" s="49" t="n">
        <x:f>LN('Cours Hebdo'!I42/'Cours Hebdo'!I41)</x:f>
        <x:v>-0.026267497544596792</x:v>
      </x:c>
      <x:c r="J42" s="49" t="n">
        <x:f>LN('Cours Hebdo'!J42/'Cours Hebdo'!J41)</x:f>
        <x:v>-0.013867625833180873</x:v>
      </x:c>
    </x:row>
    <x:row r="43">
      <x:c r="A43" s="18" t="n">
        <x:v>45751</x:v>
      </x:c>
      <x:c r="B43" s="49" t="n">
        <x:f>LN('Cours Hebdo'!B43/'Cours Hebdo'!B42)</x:f>
        <x:v>-0.06398770867528374</x:v>
      </x:c>
      <x:c r="C43" s="49" t="n">
        <x:f>LN('Cours Hebdo'!C43/'Cours Hebdo'!C42)</x:f>
        <x:v>-0.08445917664363675</x:v>
      </x:c>
      <x:c r="D43" s="49" t="n">
        <x:f>LN('Cours Hebdo'!D43/'Cours Hebdo'!D42)</x:f>
        <x:v>-0.10147549018212863</x:v>
      </x:c>
      <x:c r="E43" s="49" t="n">
        <x:f>LN('Cours Hebdo'!E43/'Cours Hebdo'!E42)</x:f>
        <x:v>-0.15674862306150372</x:v>
      </x:c>
      <x:c r="F43" s="49" t="n">
        <x:f>LN('Cours Hebdo'!F43/'Cours Hebdo'!F42)</x:f>
        <x:v>-0.2988087189863689</x:v>
      </x:c>
      <x:c r="G43" s="49" t="n">
        <x:f>LN('Cours Hebdo'!G43/'Cours Hebdo'!G42)</x:f>
        <x:v>-0.15286022678728772</x:v>
      </x:c>
      <x:c r="H43" s="49" t="n">
        <x:f>LN('Cours Hebdo'!H43/'Cours Hebdo'!H42)</x:f>
        <x:v>-0.0952119673848857</x:v>
      </x:c>
      <x:c r="I43" s="49" t="n">
        <x:f>LN('Cours Hebdo'!I43/'Cours Hebdo'!I42)</x:f>
        <x:v>-0.10554661656890732</x:v>
      </x:c>
      <x:c r="J43" s="49" t="n">
        <x:f>LN('Cours Hebdo'!J43/'Cours Hebdo'!J42)</x:f>
        <x:v>-0.08820944020762599</x:v>
      </x:c>
    </x:row>
    <x:row r="44">
      <x:c r="A44" s="18" t="n">
        <x:v>45758</x:v>
      </x:c>
      <x:c r="B44" s="49" t="n">
        <x:f>LN('Cours Hebdo'!B44/'Cours Hebdo'!B43)</x:f>
        <x:v>0.039305452461464614</x:v>
      </x:c>
      <x:c r="C44" s="49" t="n">
        <x:f>LN('Cours Hebdo'!C44/'Cours Hebdo'!C43)</x:f>
        <x:v>-0.023666382557028524</x:v>
      </x:c>
      <x:c r="D44" s="49" t="n">
        <x:f>LN('Cours Hebdo'!D44/'Cours Hebdo'!D43)</x:f>
        <x:v>0.03322864971993876</x:v>
      </x:c>
      <x:c r="E44" s="49" t="n">
        <x:f>LN('Cours Hebdo'!E44/'Cours Hebdo'!E43)</x:f>
        <x:v>0.050306485569844746</x:v>
      </x:c>
      <x:c r="F44" s="49" t="n">
        <x:f>LN('Cours Hebdo'!F44/'Cours Hebdo'!F43)</x:f>
        <x:v>0.10647876130800633</x:v>
      </x:c>
      <x:c r="G44" s="49" t="n">
        <x:f>LN('Cours Hebdo'!G44/'Cours Hebdo'!G43)</x:f>
        <x:v>-0.017316390351078636</x:v>
      </x:c>
      <x:c r="H44" s="49" t="n">
        <x:f>LN('Cours Hebdo'!H44/'Cours Hebdo'!H43)</x:f>
        <x:v>0.05544537576168444</x:v>
      </x:c>
      <x:c r="I44" s="49" t="n">
        <x:f>LN('Cours Hebdo'!I44/'Cours Hebdo'!I43)</x:f>
        <x:v>0.07038445656293899</x:v>
      </x:c>
      <x:c r="J44" s="49" t="n">
        <x:f>LN('Cours Hebdo'!J44/'Cours Hebdo'!J43)</x:f>
        <x:v>-0.01938766498527799</x:v>
      </x:c>
    </x:row>
    <x:row r="45">
      <x:c r="A45" s="18" t="n">
        <x:v>45765</x:v>
      </x:c>
      <x:c r="B45" s="49" t="n">
        <x:f>LN('Cours Hebdo'!B45/'Cours Hebdo'!B44)</x:f>
        <x:v>-0.1029633042334421</x:v>
      </x:c>
      <x:c r="C45" s="49" t="n">
        <x:f>LN('Cours Hebdo'!C45/'Cours Hebdo'!C44)</x:f>
        <x:v>0.0251648802321327</x:v>
      </x:c>
      <x:c r="D45" s="49" t="n">
        <x:f>LN('Cours Hebdo'!D45/'Cours Hebdo'!D44)</x:f>
        <x:v>-0.025548463703018998</x:v>
      </x:c>
      <x:c r="E45" s="49" t="n">
        <x:f>LN('Cours Hebdo'!E45/'Cours Hebdo'!E44)</x:f>
        <x:v>-0.02360496973898097</x:v>
      </x:c>
      <x:c r="F45" s="49" t="n">
        <x:f>LN('Cours Hebdo'!F45/'Cours Hebdo'!F44)</x:f>
        <x:v>0.003764913462128531</x:v>
      </x:c>
      <x:c r="G45" s="49" t="n">
        <x:f>LN('Cours Hebdo'!G45/'Cours Hebdo'!G44)</x:f>
        <x:v>0.018203928278393393</x:v>
      </x:c>
      <x:c r="H45" s="49" t="n">
        <x:f>LN('Cours Hebdo'!H45/'Cours Hebdo'!H44)</x:f>
        <x:v>-0.015153251240087692</x:v>
      </x:c>
      <x:c r="I45" s="49" t="n">
        <x:f>LN('Cours Hebdo'!I45/'Cours Hebdo'!I44)</x:f>
        <x:v>-0.02653888880342989</x:v>
      </x:c>
      <x:c r="J45" s="49" t="n">
        <x:f>LN('Cours Hebdo'!J45/'Cours Hebdo'!J44)</x:f>
        <x:v>0.03951305499856909</x:v>
      </x:c>
    </x:row>
    <x:row r="46">
      <x:c r="A46" s="18" t="n">
        <x:v>45772</x:v>
      </x:c>
      <x:c r="B46" s="49" t="n">
        <x:f>LN('Cours Hebdo'!B46/'Cours Hebdo'!B45)</x:f>
        <x:v>0.05480823649499495</x:v>
      </x:c>
      <x:c r="C46" s="49" t="n">
        <x:f>LN('Cours Hebdo'!C46/'Cours Hebdo'!C45)</x:f>
        <x:v>0.03379054193676937</x:v>
      </x:c>
      <x:c r="D46" s="49" t="n">
        <x:f>LN('Cours Hebdo'!D46/'Cours Hebdo'!D45)</x:f>
        <x:v>0.06067762363947608</x:v>
      </x:c>
      <x:c r="E46" s="49" t="n">
        <x:f>LN('Cours Hebdo'!E46/'Cours Hebdo'!E45)</x:f>
        <x:v>0.10774621664115996</x:v>
      </x:c>
      <x:c r="F46" s="49" t="n">
        <x:f>LN('Cours Hebdo'!F46/'Cours Hebdo'!F45)</x:f>
        <x:v>-0.038736480148313754</x:v>
      </x:c>
      <x:c r="G46" s="49" t="n">
        <x:f>LN('Cours Hebdo'!G46/'Cours Hebdo'!G45)</x:f>
        <x:v>0.08486513428346802</x:v>
      </x:c>
      <x:c r="H46" s="49" t="n">
        <x:f>LN('Cours Hebdo'!H46/'Cours Hebdo'!H45)</x:f>
        <x:v>0.04488388103659569</x:v>
      </x:c>
      <x:c r="I46" s="49" t="n">
        <x:f>LN('Cours Hebdo'!I46/'Cours Hebdo'!I45)</x:f>
        <x:v>0.06515574827511034</x:v>
      </x:c>
      <x:c r="J46" s="49" t="n">
        <x:f>LN('Cours Hebdo'!J46/'Cours Hebdo'!J45)</x:f>
        <x:v>0.027327454380369712</x:v>
      </x:c>
    </x:row>
    <x:row r="47">
      <x:c r="A47" s="18" t="n">
        <x:v>45779</x:v>
      </x:c>
      <x:c r="B47" s="49" t="n">
        <x:f>LN('Cours Hebdo'!B47/'Cours Hebdo'!B46)</x:f>
        <x:v>0.013245226750020723</x:v>
      </x:c>
      <x:c r="C47" s="49" t="n">
        <x:f>LN('Cours Hebdo'!C47/'Cours Hebdo'!C46)</x:f>
        <x:v>0.03060592937890975</x:v>
      </x:c>
      <x:c r="D47" s="49" t="n">
        <x:f>LN('Cours Hebdo'!D47/'Cours Hebdo'!D46)</x:f>
        <x:v>0.0010582969803989448</x:v>
      </x:c>
      <x:c r="E47" s="49" t="n">
        <x:f>LN('Cours Hebdo'!E47/'Cours Hebdo'!E46)</x:f>
        <x:v>0.0015464422781035331</x:v>
      </x:c>
      <x:c r="F47" s="49" t="n">
        <x:f>LN('Cours Hebdo'!F47/'Cours Hebdo'!F46)</x:f>
        <x:v>-0.003478343987639026</x:v>
      </x:c>
      <x:c r="G47" s="49" t="n">
        <x:f>LN('Cours Hebdo'!G47/'Cours Hebdo'!G46)</x:f>
        <x:v>-0.08812333606717429</x:v>
      </x:c>
      <x:c r="H47" s="49" t="n">
        <x:f>LN('Cours Hebdo'!H47/'Cours Hebdo'!H46)</x:f>
        <x:v>0.0288035771620566</x:v>
      </x:c>
      <x:c r="I47" s="49" t="n">
        <x:f>LN('Cours Hebdo'!I47/'Cours Hebdo'!I46)</x:f>
        <x:v>0.03364456173174776</x:v>
      </x:c>
      <x:c r="J47" s="49" t="n">
        <x:f>LN('Cours Hebdo'!J47/'Cours Hebdo'!J46)</x:f>
        <x:v>0.030242219185347585</x:v>
      </x:c>
    </x:row>
    <x:row r="48">
      <x:c r="A48" s="18" t="n">
        <x:v>45786</x:v>
      </x:c>
      <x:c r="B48" s="49" t="n">
        <x:f>LN('Cours Hebdo'!B48/'Cours Hebdo'!B47)</x:f>
        <x:v>0.061037358521658626</x:v>
      </x:c>
      <x:c r="C48" s="49" t="n">
        <x:f>LN('Cours Hebdo'!C48/'Cours Hebdo'!C47)</x:f>
        <x:v>-0.0034458696244351926</x:v>
      </x:c>
      <x:c r="D48" s="49" t="n">
        <x:f>LN('Cours Hebdo'!D48/'Cours Hebdo'!D47)</x:f>
        <x:v>0.11874628409576925</x:v>
      </x:c>
      <x:c r="E48" s="49" t="n">
        <x:f>LN('Cours Hebdo'!E48/'Cours Hebdo'!E47)</x:f>
        <x:v>-0.012886159503632805</x:v>
      </x:c>
      <x:c r="F48" s="49" t="n">
        <x:f>LN('Cours Hebdo'!F48/'Cours Hebdo'!F47)</x:f>
        <x:v>0.04554954674640799</x:v>
      </x:c>
      <x:c r="G48" s="49" t="n">
        <x:f>LN('Cours Hebdo'!G48/'Cours Hebdo'!G47)</x:f>
        <x:v>0.002370663856391509</x:v>
      </x:c>
      <x:c r="H48" s="49" t="n">
        <x:f>LN('Cours Hebdo'!H48/'Cours Hebdo'!H47)</x:f>
        <x:v>-0.004716807188410784</x:v>
      </x:c>
      <x:c r="I48" s="49" t="n">
        <x:f>LN('Cours Hebdo'!I48/'Cours Hebdo'!I47)</x:f>
        <x:v>-0.0027187485554700983</x:v>
      </x:c>
      <x:c r="J48" s="49" t="n">
        <x:f>LN('Cours Hebdo'!J48/'Cours Hebdo'!J47)</x:f>
        <x:v>0.0028481841981654304</x:v>
      </x:c>
    </x:row>
    <x:row r="49">
      <x:c r="A49" s="18" t="n">
        <x:v>45793</x:v>
      </x:c>
      <x:c r="B49" s="49" t="n">
        <x:f>LN('Cours Hebdo'!B49/'Cours Hebdo'!B48)</x:f>
        <x:v>0.08556611567021681</x:v>
      </x:c>
      <x:c r="C49" s="49" t="n">
        <x:f>LN('Cours Hebdo'!C49/'Cours Hebdo'!C48)</x:f>
        <x:v>0.01829045463287305</x:v>
      </x:c>
      <x:c r="D49" s="49" t="n">
        <x:f>LN('Cours Hebdo'!D49/'Cours Hebdo'!D48)</x:f>
        <x:v>0.042481359777825904</x:v>
      </x:c>
      <x:c r="E49" s="49" t="n">
        <x:f>LN('Cours Hebdo'!E49/'Cours Hebdo'!E48)</x:f>
        <x:v>0.03385676437653876</x:v>
      </x:c>
      <x:c r="F49" s="49" t="n">
        <x:f>LN('Cours Hebdo'!F49/'Cours Hebdo'!F48)</x:f>
        <x:v>0.02344338012232793</x:v>
      </x:c>
      <x:c r="G49" s="49" t="n">
        <x:f>LN('Cours Hebdo'!G49/'Cours Hebdo'!G48)</x:f>
        <x:v>0.05597374673587387</x:v>
      </x:c>
      <x:c r="H49" s="49" t="n">
        <x:f>LN('Cours Hebdo'!H49/'Cours Hebdo'!H48)</x:f>
        <x:v>0.051390593746400905</x:v>
      </x:c>
      <x:c r="I49" s="49" t="n">
        <x:f>LN('Cours Hebdo'!I49/'Cours Hebdo'!I48)</x:f>
        <x:v>0.06907316944944339</x:v>
      </x:c>
      <x:c r="J49" s="49" t="n">
        <x:f>LN('Cours Hebdo'!J49/'Cours Hebdo'!J48)</x:f>
        <x:v>0.020787686724256692</x:v>
      </x:c>
    </x:row>
    <x:row r="50">
      <x:c r="A50" s="18" t="n">
        <x:v>45800</x:v>
      </x:c>
      <x:c r="B50" s="49" t="n">
        <x:f>LN('Cours Hebdo'!B50/'Cours Hebdo'!B49)</x:f>
        <x:v>-0.02298951822469872</x:v>
      </x:c>
      <x:c r="C50" s="49" t="n">
        <x:f>LN('Cours Hebdo'!C50/'Cours Hebdo'!C49)</x:f>
        <x:v>-0.019498622127383555</x:v>
      </x:c>
      <x:c r="D50" s="49" t="n">
        <x:f>LN('Cours Hebdo'!D50/'Cours Hebdo'!D49)</x:f>
        <x:v>-0.025160872576095547</x:v>
      </x:c>
      <x:c r="E50" s="49" t="n">
        <x:f>LN('Cours Hebdo'!E50/'Cours Hebdo'!E49)</x:f>
        <x:v>-0.04103811671514305</x:v>
      </x:c>
      <x:c r="F50" s="49" t="n">
        <x:f>LN('Cours Hebdo'!F50/'Cours Hebdo'!F49)</x:f>
        <x:v>0.06530041914542126</x:v>
      </x:c>
      <x:c r="G50" s="49" t="n">
        <x:f>LN('Cours Hebdo'!G50/'Cours Hebdo'!G49)</x:f>
        <x:v>-0.06205995304604701</x:v>
      </x:c>
      <x:c r="H50" s="49" t="n">
        <x:f>LN('Cours Hebdo'!H50/'Cours Hebdo'!H49)</x:f>
        <x:v>-0.026454636385177456</x:v>
      </x:c>
      <x:c r="I50" s="49" t="n">
        <x:f>LN('Cours Hebdo'!I50/'Cours Hebdo'!I49)</x:f>
        <x:v>-0.02497678029214309</x:v>
      </x:c>
      <x:c r="J50" s="49" t="n">
        <x:f>LN('Cours Hebdo'!J50/'Cours Hebdo'!J49)</x:f>
        <x:v>-0.007547628237781979</x:v>
      </x:c>
    </x:row>
    <x:row r="51">
      <x:c r="A51" s="18" t="n">
        <x:v>45807</x:v>
      </x:c>
      <x:c r="B51" s="49" t="n">
        <x:f>LN('Cours Hebdo'!B51/'Cours Hebdo'!B50)</x:f>
        <x:v>-0.01562531790308087</x:v>
      </x:c>
      <x:c r="C51" s="49" t="n">
        <x:f>LN('Cours Hebdo'!C51/'Cours Hebdo'!C50)</x:f>
        <x:v>0.002258803337329629</x:v>
      </x:c>
      <x:c r="D51" s="49" t="n">
        <x:f>LN('Cours Hebdo'!D51/'Cours Hebdo'!D50)</x:f>
        <x:v>0.03215828850321902</x:v>
      </x:c>
      <x:c r="E51" s="49" t="n">
        <x:f>LN('Cours Hebdo'!E51/'Cours Hebdo'!E50)</x:f>
        <x:v>-0.016349165381545912</x:v>
      </x:c>
      <x:c r="F51" s="49" t="n">
        <x:f>LN('Cours Hebdo'!F51/'Cours Hebdo'!F50)</x:f>
        <x:v>0.001522032583975951</x:v>
      </x:c>
      <x:c r="G51" s="49" t="n">
        <x:f>LN('Cours Hebdo'!G51/'Cours Hebdo'!G50)</x:f>
        <x:v>0.0019337640684524997</x:v>
      </x:c>
      <x:c r="H51" s="49" t="n">
        <x:f>LN('Cours Hebdo'!H51/'Cours Hebdo'!H50)</x:f>
        <x:v>0.018587760639376047</x:v>
      </x:c>
      <x:c r="I51" s="49" t="n">
        <x:f>LN('Cours Hebdo'!I51/'Cours Hebdo'!I50)</x:f>
        <x:v>0.019897556824197478</x:v>
      </x:c>
      <x:c r="J51" s="49" t="n">
        <x:f>LN('Cours Hebdo'!J51/'Cours Hebdo'!J50)</x:f>
        <x:v>0.006472829450601778</x:v>
      </x:c>
    </x:row>
    <x:row r="52">
      <x:c r="A52" s="18" t="n">
        <x:v>45814</x:v>
      </x:c>
      <x:c r="B52" s="49" t="n">
        <x:f>LN('Cours Hebdo'!B52/'Cours Hebdo'!B51)</x:f>
        <x:v>0.09387751480282909</x:v>
      </x:c>
      <x:c r="C52" s="49" t="n">
        <x:f>LN('Cours Hebdo'!C52/'Cours Hebdo'!C51)</x:f>
        <x:v>0.006811210615461836</x:v>
      </x:c>
      <x:c r="D52" s="49" t="n">
        <x:f>LN('Cours Hebdo'!D52/'Cours Hebdo'!D51)</x:f>
        <x:v>0.025071902679062168</x:v>
      </x:c>
      <x:c r="E52" s="49" t="n">
        <x:f>LN('Cours Hebdo'!E52/'Cours Hebdo'!E51)</x:f>
        <x:v>0.04345585501965639</x:v>
      </x:c>
      <x:c r="F52" s="49" t="n">
        <x:f>LN('Cours Hebdo'!F52/'Cours Hebdo'!F51)</x:f>
        <x:v>0.038050113357558986</x:v>
      </x:c>
      <x:c r="G52" s="49" t="n">
        <x:f>LN('Cours Hebdo'!G52/'Cours Hebdo'!G51)</x:f>
        <x:v>0.028133696819596227</x:v>
      </x:c>
      <x:c r="H52" s="49" t="n">
        <x:f>LN('Cours Hebdo'!H52/'Cours Hebdo'!H51)</x:f>
        <x:v>0.014887708007392647</x:v>
      </x:c>
      <x:c r="I52" s="49" t="n">
        <x:f>LN('Cours Hebdo'!I52/'Cours Hebdo'!I51)</x:f>
        <x:v>0.02154015153618042</x:v>
      </x:c>
      <x:c r="J52" s="49" t="n">
        <x:f>LN('Cours Hebdo'!J52/'Cours Hebdo'!J51)</x:f>
        <x:v>0.009017545750087638</x:v>
      </x:c>
    </x:row>
    <x:row r="53">
      <x:c r="A53" s="18" t="n">
        <x:v>45821</x:v>
      </x:c>
      <x:c r="B53" s="49" t="n">
        <x:f>LN('Cours Hebdo'!B53/'Cours Hebdo'!B52)</x:f>
        <x:v>-0.05905774964360106</x:v>
      </x:c>
      <x:c r="C53" s="49" t="n">
        <x:f>LN('Cours Hebdo'!C53/'Cours Hebdo'!C52)</x:f>
        <x:v>-0.015519153413323111</x:v>
      </x:c>
      <x:c r="D53" s="49" t="n">
        <x:f>LN('Cours Hebdo'!D53/'Cours Hebdo'!D52)</x:f>
        <x:v>-0.0590782507175561</x:v>
      </x:c>
      <x:c r="E53" s="49" t="n">
        <x:f>LN('Cours Hebdo'!E53/'Cours Hebdo'!E52)</x:f>
        <x:v>-0.09706527575468453</x:v>
      </x:c>
      <x:c r="F53" s="49" t="n">
        <x:f>LN('Cours Hebdo'!F53/'Cours Hebdo'!F52)</x:f>
        <x:v>-0.012152604982505302</x:v>
      </x:c>
      <x:c r="G53" s="49" t="n">
        <x:f>LN('Cours Hebdo'!G53/'Cours Hebdo'!G52)</x:f>
        <x:v>-0.05158985427847668</x:v>
      </x:c>
      <x:c r="H53" s="49" t="n">
        <x:f>LN('Cours Hebdo'!H53/'Cours Hebdo'!H52)</x:f>
        <x:v>-0.0039056581086755306</x:v>
      </x:c>
      <x:c r="I53" s="49" t="n">
        <x:f>LN('Cours Hebdo'!I53/'Cours Hebdo'!I52)</x:f>
        <x:v>-0.006324074727432551</x:v>
      </x:c>
      <x:c r="J53" s="49" t="n">
        <x:f>LN('Cours Hebdo'!J53/'Cours Hebdo'!J52)</x:f>
        <x:v>-0.015838981147195143</x:v>
      </x:c>
    </x:row>
    <x:row r="54">
      <x:c r="A54" s="18" t="n">
        <x:v>45828</x:v>
      </x:c>
      <x:c r="B54" s="49" t="n">
        <x:f>LN('Cours Hebdo'!B54/'Cours Hebdo'!B53)</x:f>
        <x:v>0.015094626222484888</x:v>
      </x:c>
      <x:c r="C54" s="49" t="n">
        <x:f>LN('Cours Hebdo'!C54/'Cours Hebdo'!C53)</x:f>
        <x:v>-0.012441944232802336</x:v>
      </x:c>
      <x:c r="D54" s="49" t="n">
        <x:f>LN('Cours Hebdo'!D54/'Cours Hebdo'!D53)</x:f>
        <x:v>0.013230575299803997</x:v>
      </x:c>
      <x:c r="E54" s="49" t="n">
        <x:f>LN('Cours Hebdo'!E54/'Cours Hebdo'!E53)</x:f>
        <x:v>0.054067201871866616</x:v>
      </x:c>
      <x:c r="F54" s="49" t="n">
        <x:f>LN('Cours Hebdo'!F54/'Cours Hebdo'!F53)</x:f>
        <x:v>-0.02021023140076766</x:v>
      </x:c>
      <x:c r="G54" s="49" t="n">
        <x:f>LN('Cours Hebdo'!G54/'Cours Hebdo'!G53)</x:f>
        <x:v>-0.005033211552408327</x:v>
      </x:c>
      <x:c r="H54" s="49" t="n">
        <x:f>LN('Cours Hebdo'!H54/'Cours Hebdo'!H53)</x:f>
        <x:v>-0.00152875982576251</x:v>
      </x:c>
      <x:c r="I54" s="49" t="n">
        <x:f>LN('Cours Hebdo'!I54/'Cours Hebdo'!I53)</x:f>
        <x:v>0.0020888372870127184</x:v>
      </x:c>
      <x:c r="J54" s="49" t="n">
        <x:f>LN('Cours Hebdo'!J54/'Cours Hebdo'!J53)</x:f>
        <x:v>-0.015553168241014152</x:v>
      </x:c>
    </x:row>
    <x:row r="55">
      <x:c r="A55" s="18" t="n">
        <x:v>45835</x:v>
      </x:c>
      <x:c r="B55" s="49" t="n">
        <x:f>LN('Cours Hebdo'!B55/'Cours Hebdo'!B54)</x:f>
        <x:v>-0.04598511324182338</x:v>
      </x:c>
      <x:c r="C55" s="49" t="n">
        <x:f>LN('Cours Hebdo'!C55/'Cours Hebdo'!C54)</x:f>
        <x:v>0.013335483074513505</x:v>
      </x:c>
      <x:c r="D55" s="49" t="n">
        <x:f>LN('Cours Hebdo'!D55/'Cours Hebdo'!D54)</x:f>
        <x:v>0.033390297058288616</x:v>
      </x:c>
      <x:c r="E55" s="49" t="n">
        <x:f>LN('Cours Hebdo'!E55/'Cours Hebdo'!E54)</x:f>
        <x:v>0.04190147901882098</x:v>
      </x:c>
      <x:c r="F55" s="49" t="n">
        <x:f>LN('Cours Hebdo'!F55/'Cours Hebdo'!F54)</x:f>
        <x:v>0.04473113357115819</x:v>
      </x:c>
      <x:c r="G55" s="49" t="n">
        <x:f>LN('Cours Hebdo'!G55/'Cours Hebdo'!G54)</x:f>
        <x:v>0.006401457084038833</x:v>
      </x:c>
      <x:c r="H55" s="49" t="n">
        <x:f>LN('Cours Hebdo'!H55/'Cours Hebdo'!H54)</x:f>
        <x:v>0.03381122786853544</x:v>
      </x:c>
      <x:c r="I55" s="49" t="n">
        <x:f>LN('Cours Hebdo'!I55/'Cours Hebdo'!I54)</x:f>
        <x:v>0.04159878047069114</x:v>
      </x:c>
      <x:c r="J55" s="49" t="n">
        <x:f>LN('Cours Hebdo'!J55/'Cours Hebdo'!J54)</x:f>
        <x:v>0.013146344275335764</x:v>
      </x:c>
    </x:row>
    <x:row r="56">
      <x:c r="A56" s="18" t="n">
        <x:v>45842</x:v>
      </x:c>
      <x:c r="B56" s="49" t="n">
        <x:f>LN('Cours Hebdo'!B56/'Cours Hebdo'!B55)</x:f>
        <x:v>-0.02381064869371856</x:v>
      </x:c>
      <x:c r="C56" s="49" t="n">
        <x:f>LN('Cours Hebdo'!C56/'Cours Hebdo'!C55)</x:f>
        <x:v>0.0006135001638595701</x:v>
      </x:c>
      <x:c r="D56" s="49" t="n">
        <x:f>LN('Cours Hebdo'!D56/'Cours Hebdo'!D55)</x:f>
        <x:v>0.020446356240151405</x:v>
      </x:c>
      <x:c r="E56" s="49" t="n">
        <x:f>LN('Cours Hebdo'!E56/'Cours Hebdo'!E55)</x:f>
        <x:v>0.05631685084819333</x:v>
      </x:c>
      <x:c r="F56" s="49" t="n">
        <x:f>LN('Cours Hebdo'!F56/'Cours Hebdo'!F55)</x:f>
        <x:v>0.036909828628773296</x:v>
      </x:c>
      <x:c r="G56" s="49" t="n">
        <x:f>LN('Cours Hebdo'!G56/'Cours Hebdo'!G55)</x:f>
        <x:v>0.050366116963646373</x:v>
      </x:c>
      <x:c r="H56" s="49" t="n">
        <x:f>LN('Cours Hebdo'!H56/'Cours Hebdo'!H55)</x:f>
        <x:v>0.017070232913404527</x:v>
      </x:c>
      <x:c r="I56" s="49" t="n">
        <x:f>LN('Cours Hebdo'!I56/'Cours Hebdo'!I55)</x:f>
        <x:v>0.016031765717728262</x:v>
      </x:c>
      <x:c r="J56" s="49" t="n">
        <x:f>LN('Cours Hebdo'!J56/'Cours Hebdo'!J55)</x:f>
        <x:v>-0.0046093226219841524</x:v>
      </x:c>
    </x:row>
    <x:row r="57">
      <x:c r="A57" s="18" t="n">
        <x:v>45849</x:v>
      </x:c>
      <x:c r="B57" s="49" t="n">
        <x:f>LN('Cours Hebdo'!B57/'Cours Hebdo'!B56)</x:f>
        <x:v>-0.028515170308021233</x:v>
      </x:c>
      <x:c r="C57" s="49" t="n">
        <x:f>LN('Cours Hebdo'!C57/'Cours Hebdo'!C56)</x:f>
        <x:v>0.017136035550967498</x:v>
      </x:c>
      <x:c r="D57" s="49" t="n">
        <x:f>LN('Cours Hebdo'!D57/'Cours Hebdo'!D56)</x:f>
        <x:v>-0.07468029733156872</x:v>
      </x:c>
      <x:c r="E57" s="49" t="n">
        <x:f>LN('Cours Hebdo'!E57/'Cours Hebdo'!E56)</x:f>
        <x:v>-0.0749220422163004</x:v>
      </x:c>
      <x:c r="F57" s="49" t="n">
        <x:f>LN('Cours Hebdo'!F57/'Cours Hebdo'!F56)</x:f>
        <x:v>0.004172430633516824</x:v>
      </x:c>
      <x:c r="G57" s="49" t="n">
        <x:f>LN('Cours Hebdo'!G57/'Cours Hebdo'!G56)</x:f>
        <x:v>-0.0305098733811602</x:v>
      </x:c>
      <x:c r="H57" s="49" t="n">
        <x:f>LN('Cours Hebdo'!H57/'Cours Hebdo'!H56)</x:f>
        <x:v>-0.0031262392782341426</x:v>
      </x:c>
      <x:c r="I57" s="49" t="n">
        <x:f>LN('Cours Hebdo'!I57/'Cours Hebdo'!I56)</x:f>
        <x:v>-0.0007560858295634031</x:v>
      </x:c>
      <x:c r="J57" s="49" t="n">
        <x:f>LN('Cours Hebdo'!J57/'Cours Hebdo'!J56)</x:f>
        <x:v>0.011410675851413697</x:v>
      </x:c>
    </x:row>
    <x:row r="58">
      <x:c r="A58" s="18" t="n">
        <x:v>45856</x:v>
      </x:c>
      <x:c r="B58" s="49" t="n">
        <x:f>LN('Cours Hebdo'!B58/'Cours Hebdo'!B57)</x:f>
        <x:v>-0.055215722602446796</x:v>
      </x:c>
      <x:c r="C58" s="49" t="n">
        <x:f>LN('Cours Hebdo'!C58/'Cours Hebdo'!C57)</x:f>
        <x:v>-0.0008459154762453341</x:v>
      </x:c>
      <x:c r="D58" s="49" t="n">
        <x:f>LN('Cours Hebdo'!D58/'Cours Hebdo'!D57)</x:f>
        <x:v>0.05282054835050229</x:v>
      </x:c>
      <x:c r="E58" s="49" t="n">
        <x:f>LN('Cours Hebdo'!E58/'Cours Hebdo'!E57)</x:f>
        <x:v>0.02494888352794915</x:v>
      </x:c>
      <x:c r="F58" s="49" t="n">
        <x:f>LN('Cours Hebdo'!F58/'Cours Hebdo'!F57)</x:f>
        <x:v>0.06025719291458597</x:v>
      </x:c>
      <x:c r="G58" s="49" t="n">
        <x:f>LN('Cours Hebdo'!G58/'Cours Hebdo'!G57)</x:f>
        <x:v>-0.009427638045893727</x:v>
      </x:c>
      <x:c r="H58" s="49" t="n">
        <x:f>LN('Cours Hebdo'!H58/'Cours Hebdo'!H57)</x:f>
        <x:v>0.005899737727851061</x:v>
      </x:c>
      <x:c r="I58" s="49" t="n">
        <x:f>LN('Cours Hebdo'!I58/'Cours Hebdo'!I57)</x:f>
        <x:v>0.014952654393442016</x:v>
      </x:c>
      <x:c r="J58" s="49" t="n">
        <x:f>LN('Cours Hebdo'!J58/'Cours Hebdo'!J57)</x:f>
        <x:v>-0.0006214281814916992</x:v>
      </x:c>
    </x:row>
    <x:row r="59">
      <x:c r="A59" s="18" t="n">
        <x:v>45863</x:v>
      </x:c>
      <x:c r="B59" s="49" t="n">
        <x:f>LN('Cours Hebdo'!B59/'Cours Hebdo'!B58)</x:f>
        <x:v>0</x:v>
      </x:c>
      <x:c r="C59" s="49" t="n">
        <x:f>LN('Cours Hebdo'!C59/'Cours Hebdo'!C58)</x:f>
        <x:v>0.0015213602065761588</x:v>
      </x:c>
      <x:c r="D59" s="49" t="n">
        <x:f>LN('Cours Hebdo'!D59/'Cours Hebdo'!D58)</x:f>
        <x:v>-0.00995035513341913</x:v>
      </x:c>
      <x:c r="E59" s="49" t="n">
        <x:f>LN('Cours Hebdo'!E59/'Cours Hebdo'!E58)</x:f>
        <x:v>0.0013074213976495893</x:v>
      </x:c>
      <x:c r="F59" s="49" t="n">
        <x:f>LN('Cours Hebdo'!F59/'Cours Hebdo'!F58)</x:f>
        <x:v>0.006187892311832694</x:v>
      </x:c>
      <x:c r="G59" s="49" t="n">
        <x:f>LN('Cours Hebdo'!G59/'Cours Hebdo'!G58)</x:f>
        <x:v>0.022008259703327426</x:v>
      </x:c>
      <x:c r="H59" s="49" t="n">
        <x:f>LN('Cours Hebdo'!H59/'Cours Hebdo'!H58)</x:f>
        <x:v>0.014481448646656635</x:v>
      </x:c>
      <x:c r="I59" s="49" t="n">
        <x:f>LN('Cours Hebdo'!I59/'Cours Hebdo'!I58)</x:f>
        <x:v>0.010126268331283151</x:v>
      </x:c>
      <x:c r="J59" s="49" t="n">
        <x:f>LN('Cours Hebdo'!J59/'Cours Hebdo'!J58)</x:f>
        <x:v>0.005378584777764373</x:v>
      </x:c>
    </x:row>
    <x:row r="60">
      <x:c r="A60" s="18" t="n">
        <x:v>45870</x:v>
      </x:c>
      <x:c r="B60" s="49" t="n">
        <x:f>LN('Cours Hebdo'!B60/'Cours Hebdo'!B59)</x:f>
        <x:v>-0.04922694076515064</x:v>
      </x:c>
      <x:c r="C60" s="49" t="n">
        <x:f>LN('Cours Hebdo'!C60/'Cours Hebdo'!C59)</x:f>
        <x:v>-0.037508433417405736</x:v>
      </x:c>
      <x:c r="D60" s="49" t="n">
        <x:f>LN('Cours Hebdo'!D60/'Cours Hebdo'!D59)</x:f>
        <x:v>-0.0563813990996044</x:v>
      </x:c>
      <x:c r="E60" s="49" t="n">
        <x:f>LN('Cours Hebdo'!E60/'Cours Hebdo'!E59)</x:f>
        <x:v>-0.09568042850261901</x:v>
      </x:c>
      <x:c r="F60" s="49" t="n">
        <x:f>LN('Cours Hebdo'!F60/'Cours Hebdo'!F59)</x:f>
        <x:v>-0.12613763287927293</x:v>
      </x:c>
      <x:c r="G60" s="49" t="n">
        <x:f>LN('Cours Hebdo'!G60/'Cours Hebdo'!G59)</x:f>
        <x:v>0.21502129709037615</x:v>
      </x:c>
      <x:c r="H60" s="49" t="n">
        <x:f>LN('Cours Hebdo'!H60/'Cours Hebdo'!H59)</x:f>
        <x:v>-0.023860250896653997</x:v>
      </x:c>
      <x:c r="I60" s="49" t="n">
        <x:f>LN('Cours Hebdo'!I60/'Cours Hebdo'!I59)</x:f>
        <x:v>-0.021945633959256288</x:v>
      </x:c>
      <x:c r="J60" s="49" t="n">
        <x:f>LN('Cours Hebdo'!J60/'Cours Hebdo'!J59)</x:f>
        <x:v>-0.0070069933680002834</x:v>
      </x:c>
    </x:row>
    <x:row r="61">
      <x:c r="A61" s="18" t="n">
        <x:v>45877</x:v>
      </x:c>
      <x:c r="B61" s="49" t="n">
        <x:f>LN('Cours Hebdo'!B61/'Cours Hebdo'!B60)</x:f>
        <x:v>-0.0279087881170765</x:v>
      </x:c>
      <x:c r="C61" s="49" t="n">
        <x:f>LN('Cours Hebdo'!C61/'Cours Hebdo'!C60)</x:f>
        <x:v>0.025750364094849622</x:v>
      </x:c>
      <x:c r="D61" s="49" t="n">
        <x:f>LN('Cours Hebdo'!D61/'Cours Hebdo'!D60)</x:f>
        <x:v>-0.09050410129526795</x:v>
      </x:c>
      <x:c r="E61" s="49" t="n">
        <x:f>LN('Cours Hebdo'!E61/'Cours Hebdo'!E60)</x:f>
        <x:v>-0.024009831635668416</x:v>
      </x:c>
      <x:c r="F61" s="49" t="n">
        <x:f>LN('Cours Hebdo'!F61/'Cours Hebdo'!F60)</x:f>
        <x:v>-0.03599935341821215</x:v>
      </x:c>
      <x:c r="G61" s="49" t="n">
        <x:f>LN('Cours Hebdo'!G61/'Cours Hebdo'!G60)</x:f>
        <x:v>-0.13628053466216788</x:v>
      </x:c>
      <x:c r="H61" s="49" t="n">
        <x:f>LN('Cours Hebdo'!H61/'Cours Hebdo'!H60)</x:f>
        <x:v>0.023987039575366676</x:v>
      </x:c>
      <x:c r="I61" s="49" t="n">
        <x:f>LN('Cours Hebdo'!I61/'Cours Hebdo'!I60)</x:f>
        <x:v>0.03800389951869544</x:v>
      </x:c>
      <x:c r="J61" s="49" t="n">
        <x:f>LN('Cours Hebdo'!J61/'Cours Hebdo'!J60)</x:f>
        <x:v>0.0017746814198946169</x:v>
      </x:c>
    </x:row>
    <x:row r="62">
      <x:c r="A62" s="18" t="n">
        <x:v>45884</x:v>
      </x:c>
      <x:c r="B62" s="49" t="n">
        <x:f>LN('Cours Hebdo'!B62/'Cours Hebdo'!B61)</x:f>
        <x:v>-0.019048194970694474</x:v>
      </x:c>
      <x:c r="C62" s="49" t="n">
        <x:f>LN('Cours Hebdo'!C62/'Cours Hebdo'!C61)</x:f>
        <x:v>0.023037532283508726</x:v>
      </x:c>
      <x:c r="D62" s="49" t="n">
        <x:f>LN('Cours Hebdo'!D62/'Cours Hebdo'!D61)</x:f>
        <x:v>0.05002057714164386</x:v>
      </x:c>
      <x:c r="E62" s="49" t="n">
        <x:f>LN('Cours Hebdo'!E62/'Cours Hebdo'!E61)</x:f>
        <x:v>-0.0073910918045976895</x:v>
      </x:c>
      <x:c r="F62" s="49" t="n">
        <x:f>LN('Cours Hebdo'!F62/'Cours Hebdo'!F61)</x:f>
        <x:v>0.057858161281161606</x:v>
      </x:c>
      <x:c r="G62" s="49" t="n">
        <x:f>LN('Cours Hebdo'!G62/'Cours Hebdo'!G61)</x:f>
        <x:v>0.01604784572399426</x:v>
      </x:c>
      <x:c r="H62" s="49" t="n">
        <x:f>LN('Cours Hebdo'!H62/'Cours Hebdo'!H61)</x:f>
        <x:v>0.009400869027521732</x:v>
      </x:c>
      <x:c r="I62" s="49" t="n">
        <x:f>LN('Cours Hebdo'!I62/'Cours Hebdo'!I61)</x:f>
        <x:v>0.008031103807223517</x:v>
      </x:c>
      <x:c r="J62" s="49" t="n">
        <x:f>LN('Cours Hebdo'!J62/'Cours Hebdo'!J61)</x:f>
        <x:v>0.011775067695716127</x:v>
      </x:c>
    </x:row>
    <x:row r="63">
      <x:c r="A63" s="18" t="n">
        <x:v>45891</x:v>
      </x:c>
      <x:c r="B63" s="49" t="n">
        <x:f>LN('Cours Hebdo'!B63/'Cours Hebdo'!B62)</x:f>
        <x:v>0.023754086008107057</x:v>
      </x:c>
      <x:c r="C63" s="49" t="n">
        <x:f>LN('Cours Hebdo'!C63/'Cours Hebdo'!C62)</x:f>
        <x:v>0.005818847146017824</x:v>
      </x:c>
      <x:c r="D63" s="49" t="n">
        <x:f>LN('Cours Hebdo'!D63/'Cours Hebdo'!D62)</x:f>
        <x:v>0.060126831627691994</x:v>
      </x:c>
      <x:c r="E63" s="49" t="n">
        <x:f>LN('Cours Hebdo'!E63/'Cours Hebdo'!E62)</x:f>
        <x:v>0.0447313129396465</x:v>
      </x:c>
      <x:c r="F63" s="49" t="n">
        <x:f>LN('Cours Hebdo'!F63/'Cours Hebdo'!F62)</x:f>
        <x:v>0.04681480984928699</x:v>
      </x:c>
      <x:c r="G63" s="49" t="n">
        <x:f>LN('Cours Hebdo'!G63/'Cours Hebdo'!G62)</x:f>
        <x:v>0.0676274331200385</x:v>
      </x:c>
      <x:c r="H63" s="49" t="n">
        <x:f>LN('Cours Hebdo'!H63/'Cours Hebdo'!H62)</x:f>
        <x:v>0.0026493374276200816</x:v>
      </x:c>
      <x:c r="I63" s="49" t="n">
        <x:f>LN('Cours Hebdo'!I63/'Cours Hebdo'!I62)</x:f>
        <x:v>-0.005864711389891426</x:v>
      </x:c>
      <x:c r="J63" s="49" t="n">
        <x:f>LN('Cours Hebdo'!J63/'Cours Hebdo'!J62)</x:f>
        <x:v>0.013885357253012995</x:v>
      </x:c>
    </x:row>
    <x:row r="64">
      <x:c r="A64" s="18" t="n">
        <x:v>45898</x:v>
      </x:c>
      <x:c r="B64" s="49" t="n">
        <x:f>LN('Cours Hebdo'!B64/'Cours Hebdo'!B63)</x:f>
        <x:v>0.05924283356286076</x:v>
      </x:c>
      <x:c r="C64" s="49" t="n">
        <x:f>LN('Cours Hebdo'!C64/'Cours Hebdo'!C63)</x:f>
        <x:v>-0.03391890736873233</x:v>
      </x:c>
      <x:c r="D64" s="49" t="n">
        <x:f>LN('Cours Hebdo'!D64/'Cours Hebdo'!D63)</x:f>
        <x:v>0.007198912402911377</x:v>
      </x:c>
      <x:c r="E64" s="49" t="n">
        <x:f>LN('Cours Hebdo'!E64/'Cours Hebdo'!E63)</x:f>
        <x:v>0.09317968826771973</x:v>
      </x:c>
      <x:c r="F64" s="49" t="n">
        <x:f>LN('Cours Hebdo'!F64/'Cours Hebdo'!F63)</x:f>
        <x:v>0.09911687706783791</x:v>
      </x:c>
      <x:c r="G64" s="49" t="n">
        <x:f>LN('Cours Hebdo'!G64/'Cours Hebdo'!G63)</x:f>
        <x:v>0.02786513034045526</x:v>
      </x:c>
      <x:c r="H64" s="49" t="n">
        <x:f>LN('Cours Hebdo'!H64/'Cours Hebdo'!H63)</x:f>
        <x:v>-0.001028901337553025</x:v>
      </x:c>
      <x:c r="I64" s="49" t="n">
        <x:f>LN('Cours Hebdo'!I64/'Cours Hebdo'!I63)</x:f>
        <x:v>-0.0019085587612191614</x:v>
      </x:c>
      <x:c r="J64" s="49" t="n">
        <x:f>LN('Cours Hebdo'!J64/'Cours Hebdo'!J63)</x:f>
        <x:v>-0.020082682283760166</x:v>
      </x:c>
    </x:row>
    <x:row r="65">
      <x:c r="A65" s="18" t="n">
        <x:v>45905</x:v>
      </x:c>
      <x:c r="B65" s="49" t="n">
        <x:f>LN('Cours Hebdo'!B65/'Cours Hebdo'!B64)</x:f>
        <x:v>-0.09752502013387773</x:v>
      </x:c>
      <x:c r="C65" s="49" t="n">
        <x:f>LN('Cours Hebdo'!C65/'Cours Hebdo'!C64)</x:f>
        <x:v>-0.0037870808915423516</x:v>
      </x:c>
      <x:c r="D65" s="49" t="n">
        <x:f>LN('Cours Hebdo'!D65/'Cours Hebdo'!D64)</x:f>
        <x:v>-0.014076882288045836</x:v>
      </x:c>
      <x:c r="E65" s="49" t="n">
        <x:f>LN('Cours Hebdo'!E65/'Cours Hebdo'!E64)</x:f>
        <x:v>0.10462786158674488</x:v>
      </x:c>
      <x:c r="F65" s="49" t="n">
        <x:f>LN('Cours Hebdo'!F65/'Cours Hebdo'!F64)</x:f>
        <x:v>-0.05472493124573857</x:v>
      </x:c>
      <x:c r="G65" s="49" t="n">
        <x:f>LN('Cours Hebdo'!G65/'Cours Hebdo'!G64)</x:f>
        <x:v>-0.028490520275323925</x:v>
      </x:c>
      <x:c r="H65" s="49" t="n">
        <x:f>LN('Cours Hebdo'!H65/'Cours Hebdo'!H64)</x:f>
        <x:v>0.0032824366748478396</x:v>
      </x:c>
      <x:c r="I65" s="49" t="n">
        <x:f>LN('Cours Hebdo'!I65/'Cours Hebdo'!I64)</x:f>
        <x:v>0.011346871958958761</x:v>
      </x:c>
      <x:c r="J65" s="49" t="n">
        <x:f>LN('Cours Hebdo'!J65/'Cours Hebdo'!J64)</x:f>
        <x:v>-0.001691895877827056</x:v>
      </x:c>
    </x:row>
    <x:row r="66">
      <x:c r="A66" s="18" t="n">
        <x:v>45912</x:v>
      </x:c>
      <x:c r="B66" s="49" t="n">
        <x:f>LN('Cours Hebdo'!B66/'Cours Hebdo'!B65)</x:f>
        <x:v>0.004866189651172906</x:v>
      </x:c>
      <x:c r="C66" s="49" t="n">
        <x:f>LN('Cours Hebdo'!C66/'Cours Hebdo'!C65)</x:f>
        <x:v>0.019414836259710386</x:v>
      </x:c>
      <x:c r="D66" s="49" t="n">
        <x:f>LN('Cours Hebdo'!D66/'Cours Hebdo'!D65)</x:f>
        <x:v>0.012604435556527308</x:v>
      </x:c>
      <x:c r="E66" s="49" t="n">
        <x:f>LN('Cours Hebdo'!E66/'Cours Hebdo'!E65)</x:f>
        <x:v>-0.009160988303736479</x:v>
      </x:c>
      <x:c r="F66" s="49" t="n">
        <x:f>LN('Cours Hebdo'!F66/'Cours Hebdo'!F65)</x:f>
        <x:v>-0.010249700150825998</x:v>
      </x:c>
      <x:c r="G66" s="49" t="n">
        <x:f>LN('Cours Hebdo'!G66/'Cours Hebdo'!G65)</x:f>
        <x:v>-0.0311313735907183</x:v>
      </x:c>
      <x:c r="H66" s="49" t="n">
        <x:f>LN('Cours Hebdo'!H66/'Cours Hebdo'!H65)</x:f>
        <x:v>0.015734549452025744</x:v>
      </x:c>
      <x:c r="I66" s="49" t="n">
        <x:f>LN('Cours Hebdo'!I66/'Cours Hebdo'!I65)</x:f>
        <x:v>0.02010533069746388</x:v>
      </x:c>
      <x:c r="J66" s="49" t="n">
        <x:f>LN('Cours Hebdo'!J66/'Cours Hebdo'!J65)</x:f>
        <x:v>0.01019891025849198</x:v>
      </x:c>
    </x:row>
    <x:row r="67">
      <x:c r="A67" s="18" t="n">
        <x:v>45919</x:v>
      </x:c>
      <x:c r="B67" s="49" t="n">
        <x:f>LN('Cours Hebdo'!B67/'Cours Hebdo'!B66)</x:f>
        <x:v>0.11454154173221241</x:v>
      </x:c>
      <x:c r="C67" s="49" t="n">
        <x:f>LN('Cours Hebdo'!C67/'Cours Hebdo'!C66)</x:f>
        <x:v>0.0036162953650389785</x:v>
      </x:c>
      <x:c r="D67" s="49" t="n">
        <x:f>LN('Cours Hebdo'!D67/'Cours Hebdo'!D66)</x:f>
        <x:v>-0.02385952144450201</x:v>
      </x:c>
      <x:c r="E67" s="49" t="n">
        <x:f>LN('Cours Hebdo'!E67/'Cours Hebdo'!E66)</x:f>
        <x:v>0.024563665333405052</x:v>
      </x:c>
      <x:c r="F67" s="49" t="n">
        <x:f>LN('Cours Hebdo'!F67/'Cours Hebdo'!F66)</x:f>
        <x:v>-0.015405562451303397</x:v>
      </x:c>
      <x:c r="G67" s="49" t="n">
        <x:f>LN('Cours Hebdo'!G67/'Cours Hebdo'!G66)</x:f>
        <x:v>0.02774774185999677</x:v>
      </x:c>
      <x:c r="H67" s="49" t="n">
        <x:f>LN('Cours Hebdo'!H67/'Cours Hebdo'!H66)</x:f>
        <x:v>0.01208738998917336</x:v>
      </x:c>
      <x:c r="I67" s="49" t="n">
        <x:f>LN('Cours Hebdo'!I67/'Cours Hebdo'!I66)</x:f>
        <x:v>0.021906285896953804</x:v>
      </x:c>
      <x:c r="J67" s="49" t="n">
        <x:f>LN('Cours Hebdo'!J67/'Cours Hebdo'!J66)</x:f>
        <x:v>-0.0012985713194279623</x:v>
      </x:c>
    </x:row>
    <x:row r="68">
      <x:c r="A68" s="18" t="n">
        <x:v>45926</x:v>
      </x:c>
      <x:c r="B68" s="49" t="n">
        <x:f>LN('Cours Hebdo'!B68/'Cours Hebdo'!B67)</x:f>
        <x:v>0.012903404835907782</x:v>
      </x:c>
      <x:c r="C68" s="49" t="n">
        <x:f>LN('Cours Hebdo'!C68/'Cours Hebdo'!C67)</x:f>
        <x:v>0.0021737528978613306</x:v>
      </x:c>
      <x:c r="D68" s="49" t="n">
        <x:f>LN('Cours Hebdo'!D68/'Cours Hebdo'!D67)</x:f>
        <x:v>-0.003212060794644491</x:v>
      </x:c>
      <x:c r="E68" s="49" t="n">
        <x:f>LN('Cours Hebdo'!E68/'Cours Hebdo'!E67)</x:f>
        <x:v>0.03455094227225633</x:v>
      </x:c>
      <x:c r="F68" s="49" t="n">
        <x:f>LN('Cours Hebdo'!F68/'Cours Hebdo'!F67)</x:f>
        <x:v>-0.057297380384753856</x:v>
      </x:c>
      <x:c r="G68" s="49" t="n">
        <x:f>LN('Cours Hebdo'!G68/'Cours Hebdo'!G67)</x:f>
        <x:v>0.07413483653135519</x:v>
      </x:c>
      <x:c r="H68" s="49" t="n">
        <x:f>LN('Cours Hebdo'!H68/'Cours Hebdo'!H67)</x:f>
        <x:v>-0.003104837891385651</x:v>
      </x:c>
      <x:c r="I68" s="49" t="n">
        <x:f>LN('Cours Hebdo'!I68/'Cours Hebdo'!I67)</x:f>
        <x:v>-0.0065348057721439775</x:v>
      </x:c>
      <x:c r="J68" s="49" t="n">
        <x:f>LN('Cours Hebdo'!J68/'Cours Hebdo'!J67)</x:f>
        <x:v>0.0007216489142324092</x:v>
      </x:c>
    </x:row>
    <x:row r="69">
      <x:c r="A69" s="18" t="n">
        <x:v>45933</x:v>
      </x:c>
      <x:c r="B69" s="49" t="n">
        <x:f>LN('Cours Hebdo'!B69/'Cours Hebdo'!B68)</x:f>
        <x:v>0.04593709518702561</x:v>
      </x:c>
      <x:c r="C69" s="49" t="n">
        <x:f>LN('Cours Hebdo'!C69/'Cours Hebdo'!C68)</x:f>
        <x:v>0.026437968168767</x:v>
      </x:c>
      <x:c r="D69" s="49" t="n">
        <x:f>LN('Cours Hebdo'!D69/'Cours Hebdo'!D68)</x:f>
        <x:v>-0.023553018554996554</x:v>
      </x:c>
      <x:c r="E69" s="49" t="n">
        <x:f>LN('Cours Hebdo'!E69/'Cours Hebdo'!E68)</x:f>
        <x:v>-0.015625320675043408</x:v>
      </x:c>
      <x:c r="F69" s="49" t="n">
        <x:f>LN('Cours Hebdo'!F69/'Cours Hebdo'!F68)</x:f>
        <x:v>-0.06458617645007698</x:v>
      </x:c>
      <x:c r="G69" s="49" t="n">
        <x:f>LN('Cours Hebdo'!G69/'Cours Hebdo'!G68)</x:f>
        <x:v>0.02315907514253247</x:v>
      </x:c>
      <x:c r="H69" s="49" t="n">
        <x:f>LN('Cours Hebdo'!H69/'Cours Hebdo'!H68)</x:f>
        <x:v>0.01079240932289403</x:v>
      </x:c>
      <x:c r="I69" s="49" t="n">
        <x:f>LN('Cours Hebdo'!I69/'Cours Hebdo'!I68)</x:f>
        <x:v>0.013098263180986312</x:v>
      </x:c>
      <x:c r="J69" s="49" t="n">
        <x:f>LN('Cours Hebdo'!J69/'Cours Hebdo'!J68)</x:f>
        <x:v>0.028322634549250186</x:v>
      </x:c>
    </x:row>
    <x:row r="70">
      <x:c r="A70" s="18" t="n">
        <x:v>45940</x:v>
      </x:c>
      <x:c r="B70" s="49" t="n">
        <x:f>LN('Cours Hebdo'!B70/'Cours Hebdo'!B69)</x:f>
        <x:v>-0.024794658613216277</x:v>
      </x:c>
      <x:c r="C70" s="49" t="n">
        <x:f>LN('Cours Hebdo'!C70/'Cours Hebdo'!C69)</x:f>
        <x:v>-0.020443804581277425</x:v>
      </x:c>
      <x:c r="D70" s="49" t="n">
        <x:f>LN('Cours Hebdo'!D70/'Cours Hebdo'!D69)</x:f>
        <x:v>-0.05006011280857191</x:v>
      </x:c>
      <x:c r="E70" s="49" t="n">
        <x:f>LN('Cours Hebdo'!E70/'Cours Hebdo'!E69)</x:f>
        <x:v>-0.07795140742074302</x:v>
      </x:c>
      <x:c r="F70" s="49" t="n">
        <x:f>LN('Cours Hebdo'!F70/'Cours Hebdo'!F69)</x:f>
        <x:v>-0.0472282530921943</x:v>
      </x:c>
      <x:c r="G70" s="49" t="n">
        <x:f>LN('Cours Hebdo'!G70/'Cours Hebdo'!G69)</x:f>
        <x:v>-0.009613303114321388</x:v>
      </x:c>
      <x:c r="H70" s="49" t="n">
        <x:f>LN('Cours Hebdo'!H70/'Cours Hebdo'!H69)</x:f>
        <x:v>-0.024613329350081738</x:v>
      </x:c>
      <x:c r="I70" s="49" t="n">
        <x:f>LN('Cours Hebdo'!I70/'Cours Hebdo'!I69)</x:f>
        <x:v>-0.02561353109307659</x:v>
      </x:c>
      <x:c r="J70" s="49" t="n">
        <x:f>LN('Cours Hebdo'!J70/'Cours Hebdo'!J69)</x:f>
        <x:v>-0.011087692834399287</x:v>
      </x:c>
    </x:row>
    <x:row r="71">
      <x:c r="A71" s="18" t="n">
        <x:v>45947</x:v>
      </x:c>
      <x:c r="B71" s="49" t="n">
        <x:f>LN('Cours Hebdo'!B71/'Cours Hebdo'!B70)</x:f>
        <x:v>0.0764960329901068</x:v>
      </x:c>
      <x:c r="C71" s="49" t="n">
        <x:f>LN('Cours Hebdo'!C71/'Cours Hebdo'!C70)</x:f>
        <x:v>0.03184422787740002</x:v>
      </x:c>
      <x:c r="D71" s="49" t="n">
        <x:f>LN('Cours Hebdo'!D71/'Cours Hebdo'!D70)</x:f>
        <x:v>0.014761152530176194</x:v>
      </x:c>
      <x:c r="E71" s="49" t="n">
        <x:f>LN('Cours Hebdo'!E71/'Cours Hebdo'!E70)</x:f>
        <x:v>0.03465795281735029</x:v>
      </x:c>
      <x:c r="F71" s="49" t="n">
        <x:f>LN('Cours Hebdo'!F71/'Cours Hebdo'!F70)</x:f>
        <x:v>-0.05167201920715698</x:v>
      </x:c>
      <x:c r="G71" s="49" t="n">
        <x:f>LN('Cours Hebdo'!G71/'Cours Hebdo'!G70)</x:f>
        <x:v>0.009499377081912893</x:v>
      </x:c>
      <x:c r="H71" s="49" t="n">
        <x:f>LN('Cours Hebdo'!H71/'Cours Hebdo'!H70)</x:f>
        <x:v>0.016873223712803656</x:v>
      </x:c>
      <x:c r="I71" s="49" t="n">
        <x:f>LN('Cours Hebdo'!I71/'Cours Hebdo'!I70)</x:f>
        <x:v>0.021190382662726496</x:v>
      </x:c>
      <x:c r="J71" s="49" t="n">
        <x:f>LN('Cours Hebdo'!J71/'Cours Hebdo'!J70)</x:f>
        <x:v>0.003680147743782555</x:v>
      </x:c>
    </x:row>
    <x:row r="72">
      <x:c r="A72" s="18" t="n">
        <x:v>45954</x:v>
      </x:c>
      <x:c r="B72" s="49" t="n">
        <x:f>LN('Cours Hebdo'!B72/'Cours Hebdo'!B71)</x:f>
        <x:v>-0.07649603299010678</x:v>
      </x:c>
      <x:c r="C72" s="49" t="n">
        <x:f>LN('Cours Hebdo'!C72/'Cours Hebdo'!C71)</x:f>
        <x:v>0.006271998654844005</x:v>
      </x:c>
      <x:c r="D72" s="49" t="n">
        <x:f>LN('Cours Hebdo'!D72/'Cours Hebdo'!D71)</x:f>
        <x:v>0.053538896595951534</x:v>
      </x:c>
      <x:c r="E72" s="49" t="n">
        <x:f>LN('Cours Hebdo'!E72/'Cours Hebdo'!E71)</x:f>
        <x:v>0.0025417405854164616</x:v>
      </x:c>
      <x:c r="F72" s="49" t="n">
        <x:f>LN('Cours Hebdo'!F72/'Cours Hebdo'!F71)</x:f>
        <x:v>0.09278171211187838</x:v>
      </x:c>
      <x:c r="G72" s="49" t="n">
        <x:f>LN('Cours Hebdo'!G72/'Cours Hebdo'!G71)</x:f>
        <x:v>0.01582134368448604</x:v>
      </x:c>
      <x:c r="H72" s="49" t="n">
        <x:f>LN('Cours Hebdo'!H72/'Cours Hebdo'!H71)</x:f>
        <x:v>0.018978427115076326</x:v>
      </x:c>
      <x:c r="I72" s="49" t="n">
        <x:f>LN('Cours Hebdo'!I72/'Cours Hebdo'!I71)</x:f>
        <x:v>0.02287994629291934</x:v>
      </x:c>
      <x:c r="J72" s="49" t="n">
        <x:f>LN('Cours Hebdo'!J72/'Cours Hebdo'!J71)</x:f>
        <x:v>0.016672924810114193</x:v>
      </x:c>
    </x:row>
    <x:row r="73">
      <x:c r="A73" s="18" t="n">
        <x:v>45961</x:v>
      </x:c>
      <x:c r="B73" s="49" t="n">
        <x:f>LN('Cours Hebdo'!B73/'Cours Hebdo'!B72)</x:f>
        <x:v>-0.03838424300831534</x:v>
      </x:c>
      <x:c r="C73" s="49" t="n">
        <x:f>LN('Cours Hebdo'!C73/'Cours Hebdo'!C72)</x:f>
        <x:v>-0.012792977970018488</x:v>
      </x:c>
      <x:c r="D73" s="49" t="n">
        <x:f>LN('Cours Hebdo'!D73/'Cours Hebdo'!D72)</x:f>
        <x:v>0.08547224212993088</x:v>
      </x:c>
      <x:c r="E73" s="49" t="n">
        <x:f>LN('Cours Hebdo'!E73/'Cours Hebdo'!E72)</x:f>
        <x:v>-0.03073503058918847</x:v>
      </x:c>
      <x:c r="F73" s="49" t="n">
        <x:f>LN('Cours Hebdo'!F73/'Cours Hebdo'!F72)</x:f>
        <x:v>0.02312901624639916</x:v>
      </x:c>
      <x:c r="G73" s="49" t="n">
        <x:f>LN('Cours Hebdo'!G73/'Cours Hebdo'!G72)</x:f>
        <x:v>-0.04800003129277565</x:v>
      </x:c>
      <x:c r="H73" s="49" t="n">
        <x:f>LN('Cours Hebdo'!H73/'Cours Hebdo'!H72)</x:f>
        <x:v>0.0071172021182248696</x:v>
      </x:c>
      <x:c r="I73" s="49" t="n">
        <x:f>LN('Cours Hebdo'!I73/'Cours Hebdo'!I72)</x:f>
        <x:v>0.022165564622370067</x:v>
      </x:c>
      <x:c r="J73" s="49" t="n">
        <x:f>LN('Cours Hebdo'!J73/'Cours Hebdo'!J72)</x:f>
        <x:v>-0.006744233352749024</x:v>
      </x:c>
    </x:row>
    <x:row r="74">
      <x:c r="A74" s="18" t="n">
        <x:v>45968</x:v>
      </x:c>
      <x:c r="B74" s="49" t="n">
        <x:f>LN('Cours Hebdo'!B74/'Cours Hebdo'!B73)</x:f>
        <x:v>-0.017544309650909508</x:v>
      </x:c>
      <x:c r="C74" s="49" t="n">
        <x:f>LN('Cours Hebdo'!C74/'Cours Hebdo'!C73)</x:f>
        <x:v>-0.02126730521645692</x:v>
      </x:c>
      <x:c r="D74" s="49" t="n">
        <x:f>LN('Cours Hebdo'!D74/'Cours Hebdo'!D73)</x:f>
        <x:v>-0.06625174414366726</x:v>
      </x:c>
      <x:c r="E74" s="49" t="n">
        <x:f>LN('Cours Hebdo'!E74/'Cours Hebdo'!E73)</x:f>
        <x:v>-0.08551137943505906</x:v>
      </x:c>
      <x:c r="F74" s="49" t="n">
        <x:f>LN('Cours Hebdo'!F74/'Cours Hebdo'!F73)</x:f>
        <x:v>-0.023512681282481872</x:v>
      </x:c>
      <x:c r="G74" s="49" t="n">
        <x:f>LN('Cours Hebdo'!G74/'Cours Hebdo'!G73)</x:f>
        <x:v>0.04586744797370582</x:v>
      </x:c>
      <x:c r="H74" s="49" t="n">
        <x:f>LN('Cours Hebdo'!H74/'Cours Hebdo'!H73)</x:f>
        <x:v>-0.016420206886950492</x:v>
      </x:c>
      <x:c r="I74" s="49" t="n">
        <x:f>LN('Cours Hebdo'!I74/'Cours Hebdo'!I73)</x:f>
        <x:v>-0.030836151023096604</x:v>
      </x:c>
      <x:c r="J74" s="49" t="n">
        <x:f>LN('Cours Hebdo'!J74/'Cours Hebdo'!J73)</x:f>
        <x:v>-0.01249274907234077</x:v>
      </x:c>
    </x:row>
    <x:row r="75">
      <x:c r="A75" s="18" t="n">
        <x:v>45975</x:v>
      </x:c>
      <x:c r="B75" s="49" t="n">
        <x:f>LN('Cours Hebdo'!B75/'Cours Hebdo'!B74)</x:f>
        <x:v>0.08885333735569134</x:v>
      </x:c>
      <x:c r="C75" s="49" t="n">
        <x:f>LN('Cours Hebdo'!C75/'Cours Hebdo'!C74)</x:f>
        <x:v>0.02728531356876547</x:v>
      </x:c>
      <x:c r="D75" s="49" t="n">
        <x:f>LN('Cours Hebdo'!D75/'Cours Hebdo'!D74)</x:f>
        <x:v>0.020139181123365043</x:v>
      </x:c>
      <x:c r="E75" s="49" t="n">
        <x:f>LN('Cours Hebdo'!E75/'Cours Hebdo'!E74)</x:f>
        <x:v>0.09931019128682121</x:v>
      </x:c>
      <x:c r="F75" s="49" t="n">
        <x:f>LN('Cours Hebdo'!F75/'Cours Hebdo'!F74)</x:f>
        <x:v>-0.02093907478927681</x:v>
      </x:c>
      <x:c r="G75" s="49" t="n">
        <x:f>LN('Cours Hebdo'!G75/'Cours Hebdo'!G74)</x:f>
        <x:v>0.02255273937515818</x:v>
      </x:c>
      <x:c r="H75" s="49" t="n">
        <x:f>LN('Cours Hebdo'!H75/'Cours Hebdo'!H74)</x:f>
        <x:v>0.0007888426796388663</x:v>
      </x:c>
      <x:c r="I75" s="49" t="n">
        <x:f>LN('Cours Hebdo'!I75/'Cours Hebdo'!I74)</x:f>
        <x:v>-0.004528879404096897</x:v>
      </x:c>
      <x:c r="J75" s="49" t="n">
        <x:f>LN('Cours Hebdo'!J75/'Cours Hebdo'!J74)</x:f>
        <x:v>0.017585605426076</x:v>
      </x:c>
    </x:row>
    <x:row r="76">
      <x:c r="A76" s="18" t="n">
        <x:v>45982</x:v>
      </x:c>
      <x:c r="B76" s="49" t="n">
        <x:f>LN('Cours Hebdo'!B76/'Cours Hebdo'!B75)</x:f>
        <x:v>-0.00405680069561443</x:v>
      </x:c>
      <x:c r="C76" s="49" t="n">
        <x:f>LN('Cours Hebdo'!C76/'Cours Hebdo'!C75)</x:f>
        <x:v>-0.023209481296243048</x:v>
      </x:c>
      <x:c r="D76" s="49" t="n">
        <x:f>LN('Cours Hebdo'!D76/'Cours Hebdo'!D75)</x:f>
        <x:v>0.0034694172210311463</x:v>
      </x:c>
      <x:c r="E76" s="49" t="n">
        <x:f>LN('Cours Hebdo'!E76/'Cours Hebdo'!E75)</x:f>
        <x:v>-0.04384708670431702</x:v>
      </x:c>
      <x:c r="F76" s="49" t="n">
        <x:f>LN('Cours Hebdo'!F76/'Cours Hebdo'!F75)</x:f>
        <x:v>-0.045289289210872684</x:v>
      </x:c>
      <x:c r="G76" s="49" t="n">
        <x:f>LN('Cours Hebdo'!G76/'Cours Hebdo'!G75)</x:f>
        <x:v>-0.005728743666070388</x:v>
      </x:c>
      <x:c r="H76" s="49" t="n">
        <x:f>LN('Cours Hebdo'!H76/'Cours Hebdo'!H75)</x:f>
        <x:v>-0.019663023075932356</x:v>
      </x:c>
      <x:c r="I76" s="49" t="n">
        <x:f>LN('Cours Hebdo'!I76/'Cours Hebdo'!I75)</x:f>
        <x:v>-0.027783889734226217</x:v>
      </x:c>
      <x:c r="J76" s="49" t="n">
        <x:f>LN('Cours Hebdo'!J76/'Cours Hebdo'!J75)</x:f>
        <x:v>-0.02235982058744774</x:v>
      </x:c>
    </x:row>
    <x:row r="77">
      <x:c r="A77" s="18" t="n">
        <x:v>45989</x:v>
      </x:c>
      <x:c r="B77" s="49" t="n">
        <x:f>LN('Cours Hebdo'!B77/'Cours Hebdo'!B76)</x:f>
        <x:v>0.004056800695614469</x:v>
      </x:c>
      <x:c r="C77" s="49" t="n">
        <x:f>LN('Cours Hebdo'!C77/'Cours Hebdo'!C76)</x:f>
        <x:v>0.017393413224585583</x:v>
      </x:c>
      <x:c r="D77" s="49" t="n">
        <x:f>LN('Cours Hebdo'!D77/'Cours Hebdo'!D76)</x:f>
        <x:v>0.03809134666378257</x:v>
      </x:c>
      <x:c r="E77" s="49" t="n">
        <x:f>LN('Cours Hebdo'!E77/'Cours Hebdo'!E76)</x:f>
        <x:v>0.03986704267942959</x:v>
      </x:c>
      <x:c r="F77" s="49" t="n">
        <x:f>LN('Cours Hebdo'!F77/'Cours Hebdo'!F76)</x:f>
        <x:v>0.012630087319003712</x:v>
      </x:c>
      <x:c r="G77" s="49" t="n">
        <x:f>LN('Cours Hebdo'!G77/'Cours Hebdo'!G76)</x:f>
        <x:v>0.022396691067720954</x:v>
      </x:c>
      <x:c r="H77" s="49" t="n">
        <x:f>LN('Cours Hebdo'!H77/'Cours Hebdo'!H76)</x:f>
        <x:v>0.0365931616772018</x:v>
      </x:c>
      <x:c r="I77" s="49" t="n">
        <x:f>LN('Cours Hebdo'!I77/'Cours Hebdo'!I76)</x:f>
        <x:v>0.047889905798365745</x:v>
      </x:c>
      <x:c r="J77" s="49" t="n">
        <x:f>LN('Cours Hebdo'!J77/'Cours Hebdo'!J76)</x:f>
        <x:v>0.02517417067987419</x:v>
      </x:c>
    </x:row>
    <x:row r="78">
      <x:c r="A78" s="18" t="n">
        <x:v>45996</x:v>
      </x:c>
      <x:c r="B78" s="49" t="n">
        <x:f>LN('Cours Hebdo'!B78/'Cours Hebdo'!B77)</x:f>
        <x:v>0</x:v>
      </x:c>
      <x:c r="C78" s="49" t="n">
        <x:f>LN('Cours Hebdo'!C78/'Cours Hebdo'!C77)</x:f>
        <x:v>-0.0009816476240575292</x:v>
      </x:c>
      <x:c r="D78" s="49" t="n">
        <x:f>LN('Cours Hebdo'!D78/'Cours Hebdo'!D77)</x:f>
        <x:v>0.01739476753356113</x:v>
      </x:c>
      <x:c r="E78" s="49" t="n">
        <x:f>LN('Cours Hebdo'!E78/'Cours Hebdo'!E77)</x:f>
        <x:v>0.06372810691070141</x:v>
      </x:c>
      <x:c r="F78" s="49" t="n">
        <x:f>LN('Cours Hebdo'!F78/'Cours Hebdo'!F77)</x:f>
        <x:v>-0.05449472002063227</x:v>
      </x:c>
      <x:c r="G78" s="49" t="n">
        <x:f>LN('Cours Hebdo'!G78/'Cours Hebdo'!G77)</x:f>
        <x:v>-0.002054776169862675</x:v>
      </x:c>
      <x:c r="H78" s="49" t="n">
        <x:f>LN('Cours Hebdo'!H78/'Cours Hebdo'!H77)</x:f>
        <x:v>0.0031065405676197477</x:v>
      </x:c>
      <x:c r="I78" s="49" t="n">
        <x:f>LN('Cours Hebdo'!I78/'Cours Hebdo'!I77)</x:f>
        <x:v>0.009050940255478685</x:v>
      </x:c>
      <x:c r="J78" s="49" t="n">
        <x:f>LN('Cours Hebdo'!J78/'Cours Hebdo'!J77)</x:f>
        <x:v>0.004051298530672203</x:v>
      </x:c>
    </x:row>
    <x:row r="79">
      <x:c r="A79" s="18" t="n">
        <x:v>46003</x:v>
      </x:c>
      <x:c r="B79" s="49" t="n">
        <x:f>LN('Cours Hebdo'!B79/'Cours Hebdo'!B78)</x:f>
        <x:v>0.0551320706947163</x:v>
      </x:c>
      <x:c r="C79" s="49" t="n">
        <x:f>LN('Cours Hebdo'!C79/'Cours Hebdo'!C78)</x:f>
        <x:v>-0.005699711437316393</x:v>
      </x:c>
      <x:c r="D79" s="49" t="n">
        <x:f>LN('Cours Hebdo'!D79/'Cours Hebdo'!D78)</x:f>
        <x:v>0.011657880895960052</x:v>
      </x:c>
      <x:c r="E79" s="49" t="n">
        <x:f>LN('Cours Hebdo'!E79/'Cours Hebdo'!E78)</x:f>
        <x:v>0.020371046548077115</x:v>
      </x:c>
      <x:c r="F79" s="49" t="n">
        <x:f>LN('Cours Hebdo'!F79/'Cours Hebdo'!F78)</x:f>
        <x:v>0.08519270753083835</x:v>
      </x:c>
      <x:c r="G79" s="49" t="n">
        <x:f>LN('Cours Hebdo'!G79/'Cours Hebdo'!G78)</x:f>
        <x:v>-0.05610821294636941</x:v>
      </x:c>
      <x:c r="H79" s="49" t="n">
        <x:f>LN('Cours Hebdo'!H79/'Cours Hebdo'!H78)</x:f>
        <x:v>-0.00627689930835851</x:v>
      </x:c>
      <x:c r="I79" s="49" t="n">
        <x:f>LN('Cours Hebdo'!I79/'Cours Hebdo'!I78)</x:f>
        <x:v>-0.01637555994263327</x:v>
      </x:c>
      <x:c r="J79" s="49" t="n">
        <x:f>LN('Cours Hebdo'!J79/'Cours Hebdo'!J78)</x:f>
        <x:v>-0.0009162052695798284</x:v>
      </x:c>
    </x:row>
    <x:row r="80">
      <x:c r="A80" s="18" t="n">
        <x:v>46010</x:v>
      </x:c>
      <x:c r="B80" s="49" t="n">
        <x:f>LN('Cours Hebdo'!B80/'Cours Hebdo'!B79)</x:f>
        <x:v>-0.06735218202949153</x:v>
      </x:c>
      <x:c r="C80" s="49" t="n">
        <x:f>LN('Cours Hebdo'!C80/'Cours Hebdo'!C79)</x:f>
        <x:v>0.010204745230418073</x:v>
      </x:c>
      <x:c r="D80" s="49" t="n">
        <x:f>LN('Cours Hebdo'!D80/'Cours Hebdo'!D79)</x:f>
        <x:v>-0.014247911239769363</x:v>
      </x:c>
      <x:c r="E80" s="49" t="n">
        <x:f>LN('Cours Hebdo'!E80/'Cours Hebdo'!E79)</x:f>
        <x:v>0.02587677761701373</x:v>
      </x:c>
      <x:c r="F80" s="49" t="n">
        <x:f>LN('Cours Hebdo'!F80/'Cours Hebdo'!F79)</x:f>
        <x:v>0.00821122867317837</x:v>
      </x:c>
      <x:c r="G80" s="49" t="n">
        <x:f>LN('Cours Hebdo'!G80/'Cours Hebdo'!G79)</x:f>
        <x:v>0.006846979468861533</x:v>
      </x:c>
      <x:c r="H80" s="49" t="n">
        <x:f>LN('Cours Hebdo'!H80/'Cours Hebdo'!H79)</x:f>
        <x:v>0.0010378994306603454</x:v>
      </x:c>
      <x:c r="I80" s="49" t="n">
        <x:f>LN('Cours Hebdo'!I80/'Cours Hebdo'!I79)</x:f>
        <x:v>0.004836244887340302</x:v>
      </x:c>
      <x:c r="J80" s="49" t="n">
        <x:f>LN('Cours Hebdo'!J80/'Cours Hebdo'!J79)</x:f>
        <x:v>0.015887255502982856</x:v>
      </x:c>
    </x:row>
    <x:row r="81">
      <x:c r="A81" s="18" t="n">
        <x:v>46017</x:v>
      </x:c>
      <x:c r="B81" s="49" t="n">
        <x:f>LN('Cours Hebdo'!B81/'Cours Hebdo'!B80)</x:f>
        <x:v>-0.020704673361691166</x:v>
      </x:c>
      <x:c r="C81" s="49" t="n">
        <x:f>LN('Cours Hebdo'!C81/'Cours Hebdo'!C80)</x:f>
        <x:v>-0.005881274710341421</x:v>
      </x:c>
      <x:c r="D81" s="49" t="n">
        <x:f>LN('Cours Hebdo'!D81/'Cours Hebdo'!D80)</x:f>
        <x:v>-0.0013841149633703523</x:v>
      </x:c>
      <x:c r="E81" s="49" t="n">
        <x:f>LN('Cours Hebdo'!E81/'Cours Hebdo'!E80)</x:f>
        <x:v>-0.01348820028525516</x:v>
      </x:c>
      <x:c r="F81" s="49" t="n">
        <x:f>LN('Cours Hebdo'!F81/'Cours Hebdo'!F80)</x:f>
        <x:v>0.023476182860403462</x:v>
      </x:c>
      <x:c r="G81" s="49" t="n">
        <x:f>LN('Cours Hebdo'!G81/'Cours Hebdo'!G80)</x:f>
        <x:v>-0.005473880294141054</x:v>
      </x:c>
      <x:c r="H81" s="49" t="n">
        <x:f>LN('Cours Hebdo'!H81/'Cours Hebdo'!H80)</x:f>
        <x:v>0.013867832089942694</x:v>
      </x:c>
      <x:c r="I81" s="49" t="n">
        <x:f>LN('Cours Hebdo'!I81/'Cours Hebdo'!I80)</x:f>
        <x:v>0.012173970982377637</x:v>
      </x:c>
      <x:c r="J81" s="49" t="n">
        <x:f>LN('Cours Hebdo'!J81/'Cours Hebdo'!J80)</x:f>
        <x:v>0.002091395284077014</x:v>
      </x:c>
    </x:row>
    <x:row r="82">
      <x:c r="A82" s="18" t="n">
        <x:v>46024</x:v>
      </x:c>
      <x:c r="B82" s="49" t="n">
        <x:f>LN('Cours Hebdo'!B82/'Cours Hebdo'!B81)</x:f>
        <x:v>0.01659789140903783</x:v>
      </x:c>
      <x:c r="C82" s="49" t="n">
        <x:f>LN('Cours Hebdo'!C82/'Cours Hebdo'!C81)</x:f>
        <x:v>0.01124388349677654</x:v>
      </x:c>
      <x:c r="D82" s="49" t="n">
        <x:f>LN('Cours Hebdo'!D82/'Cours Hebdo'!D81)</x:f>
        <x:v>-0.07139483738261088</x:v>
      </x:c>
      <x:c r="E82" s="49" t="n">
        <x:f>LN('Cours Hebdo'!E82/'Cours Hebdo'!E81)</x:f>
        <x:v>-0.08834549862456866</x:v>
      </x:c>
      <x:c r="F82" s="49" t="n">
        <x:f>LN('Cours Hebdo'!F82/'Cours Hebdo'!F81)</x:f>
        <x:v>-0.06441178855270234</x:v>
      </x:c>
      <x:c r="G82" s="49" t="n">
        <x:f>LN('Cours Hebdo'!G82/'Cours Hebdo'!G81)</x:f>
        <x:v>-0.052588055178658874</x:v>
      </x:c>
      <x:c r="H82" s="49" t="n">
        <x:f>LN('Cours Hebdo'!H82/'Cours Hebdo'!H81)</x:f>
        <x:v>-0.010366730582724176</x:v>
      </x:c>
      <x:c r="I82" s="49" t="n">
        <x:f>LN('Cours Hebdo'!I82/'Cours Hebdo'!I81)</x:f>
        <x:v>-0.015267366422327299</x:v>
      </x:c>
      <x:c r="J82" s="49" t="n">
        <x:f>LN('Cours Hebdo'!J82/'Cours Hebdo'!J81)</x:f>
        <x:v>0.006855743341552943</x:v>
      </x:c>
    </x:row>
    <x:row r="83">
      <x:c r="A83" s="18" t="n">
        <x:v>46031</x:v>
      </x:c>
      <x:c r="B83" s="49" t="n">
        <x:f>LN('Cours Hebdo'!B83/'Cours Hebdo'!B82)</x:f>
        <x:v>-0.05498213441735306</x:v>
      </x:c>
      <x:c r="C83" s="49" t="n">
        <x:f>LN('Cours Hebdo'!C83/'Cours Hebdo'!C82)</x:f>
        <x:v>0.02015854468400272</x:v>
      </x:c>
      <x:c r="D83" s="49" t="n">
        <x:f>LN('Cours Hebdo'!D83/'Cours Hebdo'!D82)</x:f>
        <x:v>0.05093066570817669</x:v>
      </x:c>
      <x:c r="E83" s="49" t="n">
        <x:f>LN('Cours Hebdo'!E83/'Cours Hebdo'!E82)</x:f>
        <x:v>0.07467287643862812</x:v>
      </x:c>
      <x:c r="F83" s="49" t="n">
        <x:f>LN('Cours Hebdo'!F83/'Cours Hebdo'!F82)</x:f>
        <x:v>0.0378154813734242</x:v>
      </x:c>
      <x:c r="G83" s="49" t="n">
        <x:f>LN('Cours Hebdo'!G83/'Cours Hebdo'!G82)</x:f>
        <x:v>0.07587126335989942</x:v>
      </x:c>
      <x:c r="H83" s="49" t="n">
        <x:f>LN('Cours Hebdo'!H83/'Cours Hebdo'!H82)</x:f>
        <x:v>0.015596919411679297</x:v>
      </x:c>
      <x:c r="I83" s="49" t="n">
        <x:f>LN('Cours Hebdo'!I83/'Cours Hebdo'!I82)</x:f>
        <x:v>0.01857852619616939</x:v>
      </x:c>
      <x:c r="J83" s="49" t="n">
        <x:f>LN('Cours Hebdo'!J83/'Cours Hebdo'!J82)</x:f>
        <x:v>0.028094414501125452</x:v>
      </x:c>
    </x:row>
    <x:row r="84">
      <x:c r="A84" s="18" t="n">
        <x:v>46038</x:v>
      </x:c>
      <x:c r="B84" s="49" t="n">
        <x:f>LN('Cours Hebdo'!B84/'Cours Hebdo'!B83)</x:f>
        <x:v>-0.07678714321377028</x:v>
      </x:c>
      <x:c r="C84" s="49" t="n">
        <x:f>LN('Cours Hebdo'!C84/'Cours Hebdo'!C83)</x:f>
        <x:v>-0.01241207513918677</x:v>
      </x:c>
      <x:c r="D84" s="49" t="n">
        <x:f>LN('Cours Hebdo'!D84/'Cours Hebdo'!D83)</x:f>
        <x:v>-0.07216602628926823</x:v>
      </x:c>
      <x:c r="E84" s="49" t="n">
        <x:f>LN('Cours Hebdo'!E84/'Cours Hebdo'!E83)</x:f>
        <x:v>-0.15623314505142283</x:v>
      </x:c>
      <x:c r="F84" s="49" t="n">
        <x:f>LN('Cours Hebdo'!F84/'Cours Hebdo'!F83)</x:f>
        <x:v>-0.054175749003185655</x:v>
      </x:c>
      <x:c r="G84" s="49" t="n">
        <x:f>LN('Cours Hebdo'!G84/'Cours Hebdo'!G83)</x:f>
        <x:v>-0.04326418990271433</x:v>
      </x:c>
      <x:c r="H84" s="49" t="n">
        <x:f>LN('Cours Hebdo'!H84/'Cours Hebdo'!H83)</x:f>
        <x:v>-0.003778153861168877</x:v>
      </x:c>
      <x:c r="I84" s="49" t="n">
        <x:f>LN('Cours Hebdo'!I84/'Cours Hebdo'!I83)</x:f>
        <x:v>-0.0066103126217923105</x:v>
      </x:c>
      <x:c r="J84" s="49" t="n">
        <x:f>LN('Cours Hebdo'!J84/'Cours Hebdo'!J83)</x:f>
        <x:v>0.0076958380227738895</x:v>
      </x:c>
    </x:row>
    <x:row r="85">
      <x:c r="A85" s="18" t="n">
        <x:v>46045</x:v>
      </x:c>
      <x:c r="B85" s="49" t="n">
        <x:f>LN('Cours Hebdo'!B85/'Cours Hebdo'!B84)</x:f>
        <x:v>-0.15728547863262976</x:v>
      </x:c>
      <x:c r="C85" s="49" t="n">
        <x:f>LN('Cours Hebdo'!C85/'Cours Hebdo'!C84)</x:f>
        <x:v>-0.014131523302991847</x:v>
      </x:c>
      <x:c r="D85" s="49" t="n">
        <x:f>LN('Cours Hebdo'!D85/'Cours Hebdo'!D84)</x:f>
        <x:v>0.008133976398598333</x:v>
      </x:c>
      <x:c r="E85" s="49" t="n">
        <x:f>LN('Cours Hebdo'!E85/'Cours Hebdo'!E84)</x:f>
        <x:v>0.038931845696302286</x:v>
      </x:c>
      <x:c r="F85" s="49" t="n">
        <x:f>LN('Cours Hebdo'!F85/'Cours Hebdo'!F84)</x:f>
        <x:v>0.0020597015663247013</x:v>
      </x:c>
      <x:c r="G85" s="49" t="n">
        <x:f>LN('Cours Hebdo'!G85/'Cours Hebdo'!G84)</x:f>
        <x:v>-0.051219602065776554</x:v>
      </x:c>
      <x:c r="H85" s="49" t="n">
        <x:f>LN('Cours Hebdo'!H85/'Cours Hebdo'!H84)</x:f>
        <x:v>-0.0035220261843166155</x:v>
      </x:c>
      <x:c r="I85" s="49" t="n">
        <x:f>LN('Cours Hebdo'!I85/'Cours Hebdo'!I84)</x:f>
        <x:v>-0.0006019313078630883</x:v>
      </x:c>
      <x:c r="J85" s="49" t="n">
        <x:f>LN('Cours Hebdo'!J85/'Cours Hebdo'!J84)</x:f>
        <x:v>-0.009879656829808429</x:v>
      </x:c>
    </x:row>
    <x:row r="86">
      <x:c r="A86" s="18" t="n">
        <x:v>46052</x:v>
      </x:c>
      <x:c r="B86" s="49" t="n">
        <x:f>LN('Cours Hebdo'!B86/'Cours Hebdo'!B85)</x:f>
        <x:v>-0.15736095545750656</x:v>
      </x:c>
      <x:c r="C86" s="49" t="n">
        <x:f>LN('Cours Hebdo'!C86/'Cours Hebdo'!C85)</x:f>
        <x:v>-0.0020307869810077227</x:v>
      </x:c>
      <x:c r="D86" s="49" t="n">
        <x:f>LN('Cours Hebdo'!D86/'Cours Hebdo'!D85)</x:f>
        <x:v>-0.132993274594624</x:v>
      </x:c>
      <x:c r="E86" s="49" t="n">
        <x:f>LN('Cours Hebdo'!E86/'Cours Hebdo'!E85)</x:f>
        <x:v>-0.1153865869313142</x:v>
      </x:c>
      <x:c r="F86" s="49" t="n">
        <x:f>LN('Cours Hebdo'!F86/'Cours Hebdo'!F85)</x:f>
        <x:v>-0.12942456140774902</x:v>
      </x:c>
      <x:c r="G86" s="49" t="n">
        <x:f>LN('Cours Hebdo'!G86/'Cours Hebdo'!G85)</x:f>
        <x:v>-0.05580149797864421</x:v>
      </x:c>
      <x:c r="H86" s="49" t="n">
        <x:f>LN('Cours Hebdo'!H86/'Cours Hebdo'!H85)</x:f>
        <x:v>0.0033808088519799366</x:v>
      </x:c>
      <x:c r="I86" s="49" t="n">
        <x:f>LN('Cours Hebdo'!I86/'Cours Hebdo'!I85)</x:f>
        <x:v>-0.0016787632949762123</x:v>
      </x:c>
      <x:c r="J86" s="49" t="n">
        <x:f>LN('Cours Hebdo'!J86/'Cours Hebdo'!J85)</x:f>
        <x:v>0.004362978833560549</x:v>
      </x:c>
    </x:row>
    <x:row r="87">
      <x:c r="A87" s="18" t="n">
        <x:v>46059</x:v>
      </x:c>
      <x:c r="B87" s="49" t="n">
        <x:f>LN('Cours Hebdo'!B87/'Cours Hebdo'!B86)</x:f>
        <x:v>-0.0978858412411205</x:v>
      </x:c>
      <x:c r="C87" s="49" t="n">
        <x:f>LN('Cours Hebdo'!C87/'Cours Hebdo'!C86)</x:f>
        <x:v>0.0179647195399982</x:v>
      </x:c>
      <x:c r="D87" s="49" t="n">
        <x:f>LN('Cours Hebdo'!D87/'Cours Hebdo'!D86)</x:f>
        <x:v>-0.05803228534501735</x:v>
      </x:c>
      <x:c r="E87" s="49" t="n">
        <x:f>LN('Cours Hebdo'!E87/'Cours Hebdo'!E86)</x:f>
        <x:v>0.12544926280141272</x:v>
      </x:c>
      <x:c r="F87" s="49" t="n">
        <x:f>LN('Cours Hebdo'!F87/'Cours Hebdo'!F86)</x:f>
        <x:v>-0.16238121784882412</x:v>
      </x:c>
      <x:c r="G87" s="49" t="n">
        <x:f>LN('Cours Hebdo'!G87/'Cours Hebdo'!G86)</x:f>
        <x:v>-0.09771502094365295</x:v>
      </x:c>
      <x:c r="H87" s="49" t="n">
        <x:f>LN('Cours Hebdo'!H87/'Cours Hebdo'!H86)</x:f>
        <x:v>-0.0009703440399452702</x:v>
      </x:c>
      <x:c r="I87" s="49" t="n">
        <x:f>LN('Cours Hebdo'!I87/'Cours Hebdo'!I86)</x:f>
        <x:v>-0.018524139070344846</x:v>
      </x:c>
      <x:c r="J87" s="49" t="n">
        <x:f>LN('Cours Hebdo'!J87/'Cours Hebdo'!J86)</x:f>
        <x:v>0.009966527376064552</x:v>
      </x:c>
    </x:row>
    <x:row r="88">
      <x:c r="A88" s="18" t="n">
        <x:v>46066</x:v>
      </x:c>
      <x:c r="B88" s="49" t="n">
        <x:f>LN('Cours Hebdo'!B88/'Cours Hebdo'!B87)</x:f>
        <x:v>-0.12847832477313137</x:v>
      </x:c>
      <x:c r="C88" s="49" t="n">
        <x:f>LN('Cours Hebdo'!C88/'Cours Hebdo'!C87)</x:f>
        <x:v>0.004570290145654427</x:v>
      </x:c>
      <x:c r="D88" s="49" t="n">
        <x:f>LN('Cours Hebdo'!D88/'Cours Hebdo'!D87)</x:f>
        <x:v>-0.1272633579362307</x:v>
      </x:c>
      <x:c r="E88" s="49" t="n">
        <x:f>LN('Cours Hebdo'!E88/'Cours Hebdo'!E87)</x:f>
        <x:v>-0.04066018111943478</x:v>
      </x:c>
      <x:c r="F88" s="49" t="n">
        <x:f>LN('Cours Hebdo'!F88/'Cours Hebdo'!F87)</x:f>
        <x:v>-0.11736991466752372</x:v>
      </x:c>
      <x:c r="G88" s="49" t="n">
        <x:f>LN('Cours Hebdo'!G88/'Cours Hebdo'!G87)</x:f>
        <x:v>-0.12034534398016646</x:v>
      </x:c>
      <x:c r="H88" s="49" t="n">
        <x:f>LN('Cours Hebdo'!H88/'Cours Hebdo'!H87)</x:f>
        <x:v>-0.013963998436007078</x:v>
      </x:c>
      <x:c r="I88" s="49" t="n">
        <x:f>LN('Cours Hebdo'!I88/'Cours Hebdo'!I87)</x:f>
        <x:v>-0.02126291358430496</x:v>
      </x:c>
      <x:c r="J88" s="49" t="n">
        <x:f>LN('Cours Hebdo'!J88/'Cours Hebdo'!J87)</x:f>
        <x:v>0.000939435916264261</x:v>
      </x:c>
    </x:row>
    <x:row r="89">
      <x:c r="A89" s="18" t="n">
        <x:v>46073</x:v>
      </x:c>
      <x:c r="B89" s="49" t="n">
        <x:f>LN('Cours Hebdo'!B89/'Cours Hebdo'!B88)</x:f>
        <x:v>-0.03696519423347147</x:v>
      </x:c>
      <x:c r="C89" s="49" t="n">
        <x:f>LN('Cours Hebdo'!C89/'Cours Hebdo'!C88)</x:f>
        <x:v>0.02421788406150748</x:v>
      </x:c>
      <x:c r="D89" s="49" t="n">
        <x:f>LN('Cours Hebdo'!D89/'Cours Hebdo'!D88)</x:f>
        <x:v>-0.0658343352698417</x:v>
      </x:c>
      <x:c r="E89" s="49" t="n">
        <x:f>LN('Cours Hebdo'!E89/'Cours Hebdo'!E88)</x:f>
        <x:v>-0.01695503423284913</x:v>
      </x:c>
      <x:c r="F89" s="49" t="n">
        <x:f>LN('Cours Hebdo'!F89/'Cours Hebdo'!F88)</x:f>
        <x:v>-0.03274848794074343</x:v>
      </x:c>
      <x:c r="G89" s="49" t="n">
        <x:f>LN('Cours Hebdo'!G89/'Cours Hebdo'!G88)</x:f>
        <x:v>-0.00810639973402479</x:v>
      </x:c>
      <x:c r="H89" s="49" t="n">
        <x:f>LN('Cours Hebdo'!H89/'Cours Hebdo'!H88)</x:f>
        <x:v>0.010671067762430913</x:v>
      </x:c>
      <x:c r="I89" s="49" t="n">
        <x:f>LN('Cours Hebdo'!I89/'Cours Hebdo'!I88)</x:f>
        <x:v>0.014941062445170652</x:v>
      </x:c>
      <x:c r="J89" s="49" t="n">
        <x:f>LN('Cours Hebdo'!J89/'Cours Hebdo'!J88)</x:f>
        <x:v>0.02060538711096282</x:v>
      </x:c>
    </x:row>
    <x:row r="90">
      <x:c r="A90" s="18" t="n">
        <x:v>46080</x:v>
      </x:c>
      <x:c r="B90" s="49" t="n">
        <x:f>LN('Cours Hebdo'!B90/'Cours Hebdo'!B89)</x:f>
        <x:v>-0.03838424300831534</x:v>
      </x:c>
      <x:c r="C90" s="49" t="n">
        <x:f>LN('Cours Hebdo'!C90/'Cours Hebdo'!C89)</x:f>
        <x:v>0.007634436776754702</x:v>
      </x:c>
      <x:c r="D90" s="49" t="n">
        <x:f>LN('Cours Hebdo'!D90/'Cours Hebdo'!D89)</x:f>
        <x:v>-0.025211461556146755</x:v>
      </x:c>
      <x:c r="E90" s="49" t="n">
        <x:f>LN('Cours Hebdo'!E90/'Cours Hebdo'!E89)</x:f>
        <x:v>-0.0372659692836526</x:v>
      </x:c>
      <x:c r="F90" s="49" t="n">
        <x:f>LN('Cours Hebdo'!F90/'Cours Hebdo'!F89)</x:f>
        <x:v>0.032748487940743455</x:v>
      </x:c>
      <x:c r="G90" s="49" t="n">
        <x:f>LN('Cours Hebdo'!G90/'Cours Hebdo'!G89)</x:f>
        <x:v>0.0024388520872234685</x:v>
      </x:c>
      <x:c r="H90" s="49" t="n">
        <x:f>LN('Cours Hebdo'!H90/'Cours Hebdo'!H89)</x:f>
        <x:v>-0.004442858662547522</x:v>
      </x:c>
      <x:c r="I90" s="49" t="n">
        <x:f>LN('Cours Hebdo'!I90/'Cours Hebdo'!I89)</x:f>
        <x:v>-0.00956489840103874</x:v>
      </x:c>
      <x:c r="J90" s="49" t="n">
        <x:f>LN('Cours Hebdo'!J90/'Cours Hebdo'!J89)</x:f>
        <x:v>0.0052039852927499314</x:v>
      </x:c>
    </x:row>
    <x:row r="91">
      <x:c r="A91" s="18" t="n">
        <x:v>46087</x:v>
      </x:c>
      <x:c r="B91" s="49" t="n">
        <x:f>LN('Cours Hebdo'!B91/'Cours Hebdo'!B90)</x:f>
        <x:v>0.13026519483790155</x:v>
      </x:c>
      <x:c r="C91" s="49" t="n">
        <x:f>LN('Cours Hebdo'!C91/'Cours Hebdo'!C90)</x:f>
        <x:v>-0.07089383254071534</x:v>
      </x:c>
      <x:c r="D91" s="49" t="n">
        <x:f>LN('Cours Hebdo'!D91/'Cours Hebdo'!D90)</x:f>
        <x:v>0.0584026856569568</x:v>
      </x:c>
      <x:c r="E91" s="49" t="n">
        <x:f>LN('Cours Hebdo'!E91/'Cours Hebdo'!E90)</x:f>
        <x:v>0.012281120163158687</x:v>
      </x:c>
      <x:c r="F91" s="49" t="n">
        <x:f>LN('Cours Hebdo'!F91/'Cours Hebdo'!F90)</x:f>
        <x:v>0.04126801137545616</x:v>
      </x:c>
      <x:c r="G91" s="49" t="n">
        <x:f>LN('Cours Hebdo'!G91/'Cours Hebdo'!G90)</x:f>
        <x:v>0.05251047499035355</x:v>
      </x:c>
      <x:c r="H91" s="49" t="n">
        <x:f>LN('Cours Hebdo'!H91/'Cours Hebdo'!H90)</x:f>
        <x:v>-0.02039293578322733</x:v>
      </x:c>
      <x:c r="I91" s="49" t="n">
        <x:f>LN('Cours Hebdo'!I91/'Cours Hebdo'!I90)</x:f>
        <x:v>-0.012452750185926922</x:v>
      </x:c>
      <x:c r="J91" s="49" t="n">
        <x:f>LN('Cours Hebdo'!J91/'Cours Hebdo'!J90)</x:f>
        <x:v>-0.057068355854099535</x:v>
      </x:c>
    </x:row>
    <x:row r="92">
      <x:c r="A92" s="18" t="n">
        <x:v>46094</x:v>
      </x:c>
      <x:c r="B92" s="49" t="n">
        <x:f>LN('Cours Hebdo'!B92/'Cours Hebdo'!B91)</x:f>
        <x:v>0.07356256717701665</x:v>
      </x:c>
      <x:c r="C92" s="49" t="n">
        <x:f>LN('Cours Hebdo'!C92/'Cours Hebdo'!C91)</x:f>
        <x:v>-0.010306327763947621</x:v>
      </x:c>
      <x:c r="D92" s="49" t="n">
        <x:f>LN('Cours Hebdo'!D92/'Cours Hebdo'!D91)</x:f>
        <x:v>-0.013198787264931885</x:v>
      </x:c>
      <x:c r="E92" s="49" t="n">
        <x:f>LN('Cours Hebdo'!E92/'Cours Hebdo'!E91)</x:f>
        <x:v>-0.12437931803322232</x:v>
      </x:c>
      <x:c r="F92" s="49" t="n">
        <x:f>LN('Cours Hebdo'!F92/'Cours Hebdo'!F91)</x:f>
        <x:v>-0.10986264401332196</x:v>
      </x:c>
      <x:c r="G92" s="49" t="n">
        <x:f>LN('Cours Hebdo'!G92/'Cours Hebdo'!G91)</x:f>
        <x:v>-0.052348125044845074</x:v>
      </x:c>
      <x:c r="H92" s="49" t="n">
        <x:f>LN('Cours Hebdo'!H92/'Cours Hebdo'!H91)</x:f>
        <x:v>-0.01612783761412987</x:v>
      </x:c>
      <x:c r="I92" s="49" t="n">
        <x:f>LN('Cours Hebdo'!I92/'Cours Hebdo'!I91)</x:f>
        <x:v>-0.012690708816870686</x:v>
      </x:c>
      <x:c r="J92" s="49" t="n">
        <x:f>LN('Cours Hebdo'!J92/'Cours Hebdo'!J91)</x:f>
        <x:v>-0.004755022450227401</x:v>
      </x:c>
    </x:row>
    <x:row r="93">
      <x:c r="A93" s="18" t="n">
        <x:v>46101</x:v>
      </x:c>
      <x:c r="B93" s="49" t="n">
        <x:f>LN('Cours Hebdo'!B93/'Cours Hebdo'!B92)</x:f>
        <x:v>-0.003552401604367772</x:v>
      </x:c>
      <x:c r="C93" s="49" t="n">
        <x:f>LN('Cours Hebdo'!C93/'Cours Hebdo'!C92)</x:f>
        <x:v>-0.03157575047298117</x:v>
      </x:c>
      <x:c r="D93" s="49" t="n">
        <x:f>LN('Cours Hebdo'!D93/'Cours Hebdo'!D92)</x:f>
        <x:v>0.058708776723143286</x:v>
      </x:c>
      <x:c r="E93" s="49" t="n">
        <x:f>LN('Cours Hebdo'!E93/'Cours Hebdo'!E92)</x:f>
        <x:v>0.0015067194978433452</x:v>
      </x:c>
      <x:c r="F93" s="49" t="n">
        <x:f>LN('Cours Hebdo'!F93/'Cours Hebdo'!F92)</x:f>
        <x:v>0.008589422916029925</x:v>
      </x:c>
      <x:c r="G93" s="49" t="n">
        <x:f>LN('Cours Hebdo'!G93/'Cours Hebdo'!G92)</x:f>
        <x:v>-0.0138970349251961</x:v>
      </x:c>
      <x:c r="H93" s="49" t="n">
        <x:f>LN('Cours Hebdo'!H93/'Cours Hebdo'!H92)</x:f>
        <x:v>-0.019136457183628806</x:v>
      </x:c>
      <x:c r="I93" s="49" t="n">
        <x:f>LN('Cours Hebdo'!I93/'Cours Hebdo'!I92)</x:f>
        <x:v>-0.020925057906533553</x:v>
      </x:c>
      <x:c r="J93" s="49" t="n">
        <x:f>LN('Cours Hebdo'!J93/'Cours Hebdo'!J92)</x:f>
        <x:v>-0.0386146119027133</x:v>
      </x:c>
    </x:row>
    <x:row r="94">
      <x:c r="A94" s="18" t="n">
        <x:v>46108</x:v>
      </x:c>
      <x:c r="B94" s="49" t="n">
        <x:f>LN('Cours Hebdo'!B94/'Cours Hebdo'!B93)</x:f>
        <x:v>-0.054858360552046743</x:v>
      </x:c>
      <x:c r="C94" s="49" t="n">
        <x:f>LN('Cours Hebdo'!C94/'Cours Hebdo'!C93)</x:f>
        <x:v>0.004728157420794479</x:v>
      </x:c>
      <x:c r="D94" s="49" t="n">
        <x:f>LN('Cours Hebdo'!D94/'Cours Hebdo'!D93)</x:f>
        <x:v>-0.08147136180585689</x:v>
      </x:c>
      <x:c r="E94" s="49" t="n">
        <x:f>LN('Cours Hebdo'!E94/'Cours Hebdo'!E93)</x:f>
        <x:v>-0.07420445430143666</x:v>
      </x:c>
      <x:c r="F94" s="49" t="n">
        <x:f>LN('Cours Hebdo'!F94/'Cours Hebdo'!F93)</x:f>
        <x:v>-0.08152403861793564</x:v>
      </x:c>
      <x:c r="G94" s="49" t="n">
        <x:f>LN('Cours Hebdo'!G94/'Cours Hebdo'!G93)</x:f>
        <x:v>-0.049094783418394815</x:v>
      </x:c>
      <x:c r="H94" s="49" t="n">
        <x:f>LN('Cours Hebdo'!H94/'Cours Hebdo'!H93)</x:f>
        <x:v>-0.021379665511558028</x:v>
      </x:c>
      <x:c r="I94" s="49" t="n">
        <x:f>LN('Cours Hebdo'!I94/'Cours Hebdo'!I93)</x:f>
        <x:v>-0.0328346950277413</x:v>
      </x:c>
      <x:c r="J94" s="49" t="n">
        <x:f>LN('Cours Hebdo'!J94/'Cours Hebdo'!J93)</x:f>
        <x:v>0.003517317990101762</x:v>
      </x:c>
    </x:row>
    <x:row r="95">
      <x:c r="A95" s="18" t="n">
        <x:v>46115</x:v>
      </x:c>
      <x:c r="B95" s="49" t="n">
        <x:f>LN('Cours Hebdo'!B95/'Cours Hebdo'!B94)</x:f>
        <x:v>0.12693070859317065</x:v>
      </x:c>
      <x:c r="C95" s="49" t="n">
        <x:f>LN('Cours Hebdo'!C95/'Cours Hebdo'!C94)</x:f>
        <x:v>0.03325565430657569</x:v>
      </x:c>
      <x:c r="D95" s="49" t="n">
        <x:f>LN('Cours Hebdo'!D95/'Cours Hebdo'!D94)</x:f>
        <x:v>0.00663540388547861</x:v>
      </x:c>
      <x:c r="E95" s="49" t="n">
        <x:f>LN('Cours Hebdo'!E95/'Cours Hebdo'!E94)</x:f>
        <x:v>0.04311129168385461</x:v>
      </x:c>
      <x:c r="F95" s="49" t="n">
        <x:f>LN('Cours Hebdo'!F95/'Cours Hebdo'!F94)</x:f>
        <x:v>0.19930710913083624</x:v>
      </x:c>
      <x:c r="G95" s="49" t="n">
        <x:f>LN('Cours Hebdo'!G95/'Cours Hebdo'!G94)</x:f>
        <x:v>0.03683685838926136</x:v>
      </x:c>
      <x:c r="H95" s="49" t="n">
        <x:f>LN('Cours Hebdo'!H95/'Cours Hebdo'!H94)</x:f>
        <x:v>0.03302453261643899</x:v>
      </x:c>
      <x:c r="I95" s="49" t="n">
        <x:f>LN('Cours Hebdo'!I95/'Cours Hebdo'!I94)</x:f>
        <x:v>0.043475153574631706</x:v>
      </x:c>
      <x:c r="J95" s="49" t="n">
        <x:f>LN('Cours Hebdo'!J95/'Cours Hebdo'!J94)</x:f>
        <x:v>0.0364055412977304</x:v>
      </x:c>
    </x:row>
    <x:row r="96">
      <x:c r="A96" s="18" t="n">
        <x:v>46122</x:v>
      </x:c>
      <x:c r="B96" s="49" t="n">
        <x:f>LN('Cours Hebdo'!B96/'Cours Hebdo'!B95)</x:f>
        <x:v>0.06412452816953856</x:v>
      </x:c>
      <x:c r="C96" s="49" t="n">
        <x:f>LN('Cours Hebdo'!C96/'Cours Hebdo'!C95)</x:f>
        <x:v>0.03664688969997629</x:v>
      </x:c>
      <x:c r="D96" s="49" t="n">
        <x:f>LN('Cours Hebdo'!D96/'Cours Hebdo'!D95)</x:f>
        <x:v>-0.1807245911885228</x:v>
      </x:c>
      <x:c r="E96" s="49" t="n">
        <x:f>LN('Cours Hebdo'!E96/'Cours Hebdo'!E95)</x:f>
        <x:v>-0.10700140083085655</x:v>
      </x:c>
      <x:c r="F96" s="49" t="n">
        <x:f>LN('Cours Hebdo'!F96/'Cours Hebdo'!F95)</x:f>
        <x:v>0.02026120655310882</x:v>
      </x:c>
      <x:c r="G96" s="49" t="n">
        <x:f>LN('Cours Hebdo'!G96/'Cours Hebdo'!G95)</x:f>
        <x:v>-0.1362016095235726</x:v>
      </x:c>
      <x:c r="H96" s="49" t="n">
        <x:f>LN('Cours Hebdo'!H96/'Cours Hebdo'!H95)</x:f>
        <x:v>0.03495990869229111</x:v>
      </x:c>
      <x:c r="I96" s="49" t="n">
        <x:f>LN('Cours Hebdo'!I96/'Cours Hebdo'!I95)</x:f>
        <x:v>0.0457276453395993</x:v>
      </x:c>
      <x:c r="J96" s="49" t="n">
        <x:f>LN('Cours Hebdo'!J96/'Cours Hebdo'!J95)</x:f>
        <x:v>0.03006495108709392</x:v>
      </x:c>
    </x:row>
    <x:row r="97">
      <x:c r="A97" s="18" t="n">
        <x:v>46129</x:v>
      </x:c>
      <x:c r="B97" s="49" t="n">
        <x:f>LN('Cours Hebdo'!B97/'Cours Hebdo'!B96)</x:f>
        <x:v>-0.04445176257083381</x:v>
      </x:c>
      <x:c r="C97" s="49" t="n">
        <x:f>LN('Cours Hebdo'!C97/'Cours Hebdo'!C96)</x:f>
        <x:v>0.019842779560433246</x:v>
      </x:c>
      <x:c r="D97" s="49" t="n">
        <x:f>LN('Cours Hebdo'!D97/'Cours Hebdo'!D96)</x:f>
        <x:v>0.039487307768422464</x:v>
      </x:c>
      <x:c r="E97" s="49" t="n">
        <x:f>LN('Cours Hebdo'!E97/'Cours Hebdo'!E96)</x:f>
        <x:v>0.11165017726857022</x:v>
      </x:c>
      <x:c r="F97" s="49" t="n">
        <x:f>LN('Cours Hebdo'!F97/'Cours Hebdo'!F96)</x:f>
        <x:v>0.05626648710961356</x:v>
      </x:c>
      <x:c r="G97" s="49" t="n">
        <x:f>LN('Cours Hebdo'!G97/'Cours Hebdo'!G96)</x:f>
        <x:v>0.09085551041780295</x:v>
      </x:c>
      <x:c r="H97" s="49" t="n">
        <x:f>LN('Cours Hebdo'!H97/'Cours Hebdo'!H96)</x:f>
        <x:v>0.04435511906547374</x:v>
      </x:c>
      <x:c r="I97" s="49" t="n">
        <x:f>LN('Cours Hebdo'!I97/'Cours Hebdo'!I96)</x:f>
        <x:v>0.0661226470447086</x:v>
      </x:c>
      <x:c r="J97" s="49" t="n">
        <x:f>LN('Cours Hebdo'!J97/'Cours Hebdo'!J96)</x:f>
        <x:v>0.01891437195878837</x:v>
      </x:c>
    </x:row>
    <x:row r="98">
      <x:c r="A98" s="18" t="n">
        <x:v>46136</x:v>
      </x:c>
      <x:c r="B98" s="49" t="n">
        <x:f>LN('Cours Hebdo'!B98/'Cours Hebdo'!B97)</x:f>
        <x:v>0.09176199782736137</x:v>
      </x:c>
      <x:c r="C98" s="49" t="n">
        <x:f>LN('Cours Hebdo'!C98/'Cours Hebdo'!C97)</x:f>
        <x:v>-0.032241937604219374</x:v>
      </x:c>
      <x:c r="D98" s="49" t="n">
        <x:f>LN('Cours Hebdo'!D98/'Cours Hebdo'!D97)</x:f>
        <x:v>-0.027998638080667118</x:v>
      </x:c>
      <x:c r="E98" s="49" t="n">
        <x:f>LN('Cours Hebdo'!E98/'Cours Hebdo'!E97)</x:f>
        <x:v>-0.04263810975516642</x:v>
      </x:c>
      <x:c r="F98" s="49" t="n">
        <x:f>LN('Cours Hebdo'!F98/'Cours Hebdo'!F97)</x:f>
        <x:v>-0.04317210500893669</x:v>
      </x:c>
      <x:c r="G98" s="49" t="n">
        <x:f>LN('Cours Hebdo'!G98/'Cours Hebdo'!G97)</x:f>
        <x:v>-0.07588032961945815</x:v>
      </x:c>
      <x:c r="H98" s="49" t="n">
        <x:f>LN('Cours Hebdo'!H98/'Cours Hebdo'!H97)</x:f>
        <x:v>0.005460742267125272</x:v>
      </x:c>
      <x:c r="I98" s="49" t="n">
        <x:f>LN('Cours Hebdo'!I98/'Cours Hebdo'!I97)</x:f>
        <x:v>0.014932578157927371</x:v>
      </x:c>
      <x:c r="J98" s="49" t="n">
        <x:f>LN('Cours Hebdo'!J98/'Cours Hebdo'!J97)</x:f>
        <x:v>-0.025752483396763302</x:v>
      </x:c>
    </x:row>
    <x:row r="99">
      <x:c r="A99" s="18" t="n">
        <x:v>46143</x:v>
      </x:c>
      <x:c r="B99" s="49" t="n">
        <x:f>LN('Cours Hebdo'!B99/'Cours Hebdo'!B98)</x:f>
        <x:v>0.0011841146820829945</x:v>
      </x:c>
      <x:c r="C99" s="49" t="n">
        <x:f>LN('Cours Hebdo'!C99/'Cours Hebdo'!C98)</x:f>
        <x:v>-0.005282489929853792</x:v>
      </x:c>
      <x:c r="D99" s="49" t="n">
        <x:f>LN('Cours Hebdo'!D99/'Cours Hebdo'!D98)</x:f>
        <x:v>0.10140362668545663</x:v>
      </x:c>
      <x:c r="E99" s="49" t="n">
        <x:f>LN('Cours Hebdo'!E99/'Cours Hebdo'!E98)</x:f>
        <x:v>0.04931503024535247</x:v>
      </x:c>
      <x:c r="F99" s="49" t="n">
        <x:f>LN('Cours Hebdo'!F99/'Cours Hebdo'!F98)</x:f>
        <x:v>0.025133904006425074</x:v>
      </x:c>
      <x:c r="G99" s="49" t="n">
        <x:f>LN('Cours Hebdo'!G99/'Cours Hebdo'!G98)</x:f>
        <x:v>0.02984183627204536</x:v>
      </x:c>
      <x:c r="H99" s="49" t="n">
        <x:f>LN('Cours Hebdo'!H99/'Cours Hebdo'!H98)</x:f>
        <x:v>0.009036412242867978</x:v>
      </x:c>
      <x:c r="I99" s="49" t="n">
        <x:f>LN('Cours Hebdo'!I99/'Cours Hebdo'!I98)</x:f>
        <x:v>0.01112460178361713</x:v>
      </x:c>
      <x:c r="J99" s="49" t="n">
        <x:f>LN('Cours Hebdo'!J99/'Cours Hebdo'!J98)</x:f>
        <x:v>0.0010311636688577505</x:v>
      </x:c>
    </x:row>
    <x:row r="100">
      <x:c r="A100" s="18" t="n">
        <x:v>46150</x:v>
      </x:c>
      <x:c r="B100" s="49" t="n">
        <x:f>LN('Cours Hebdo'!B100/'Cours Hebdo'!B99)</x:f>
        <x:v>-0.04973733919961428</x:v>
      </x:c>
      <x:c r="C100" s="49" t="n">
        <x:f>LN('Cours Hebdo'!C100/'Cours Hebdo'!C99)</x:f>
        <x:v>-0.0002797759583943878</x:v>
      </x:c>
      <x:c r="D100" s="49" t="n">
        <x:f>LN('Cours Hebdo'!D100/'Cours Hebdo'!D99)</x:f>
        <x:v>-0.10173005819213962</x:v>
      </x:c>
      <x:c r="E100" s="49" t="n">
        <x:f>LN('Cours Hebdo'!E100/'Cours Hebdo'!E99)</x:f>
        <x:v>0.06825892797184678</x:v>
      </x:c>
      <x:c r="F100" s="49" t="n">
        <x:f>LN('Cours Hebdo'!F100/'Cours Hebdo'!F99)</x:f>
        <x:v>-0.02118246255557112</x:v>
      </x:c>
      <x:c r="G100" s="49" t="n">
        <x:f>LN('Cours Hebdo'!G100/'Cours Hebdo'!G99)</x:f>
        <x:v>-0.0654641505177249</x:v>
      </x:c>
      <x:c r="H100" s="49" t="n">
        <x:f>LN('Cours Hebdo'!H100/'Cours Hebdo'!H99)</x:f>
        <x:v>0.02307976916683446</x:v>
      </x:c>
      <x:c r="I100" s="49" t="n">
        <x:f>LN('Cours Hebdo'!I100/'Cours Hebdo'!I99)</x:f>
        <x:v>0.04411178998521906</x:v>
      </x:c>
      <x:c r="J100" s="49" t="n">
        <x:f>LN('Cours Hebdo'!J100/'Cours Hebdo'!J99)</x:f>
        <x:v>0.0014058711845755458</x:v>
      </x:c>
    </x:row>
    <x:row r="101">
      <x:c r="A101" s="18" t="n">
        <x:v>46157</x:v>
      </x:c>
      <x:c r="B101" s="49" t="n">
        <x:f>LN('Cours Hebdo'!B101/'Cours Hebdo'!B100)</x:f>
        <x:v>0.02578409817712136</x:v>
      </x:c>
      <x:c r="C101" s="49" t="n">
        <x:f>LN('Cours Hebdo'!C101/'Cours Hebdo'!C100)</x:f>
        <x:v>-0.019922081592001685</x:v>
      </x:c>
      <x:c r="D101" s="49" t="n">
        <x:f>LN('Cours Hebdo'!D101/'Cours Hebdo'!D100)</x:f>
        <x:v>-0.11692637233636416</x:v>
      </x:c>
      <x:c r="E101" s="49" t="n">
        <x:f>LN('Cours Hebdo'!E101/'Cours Hebdo'!E100)</x:f>
        <x:v>-0.04298591219583889</x:v>
      </x:c>
      <x:c r="F101" s="49" t="n">
        <x:f>LN('Cours Hebdo'!F101/'Cours Hebdo'!F100)</x:f>
        <x:v>-0.17033729965229222</x:v>
      </x:c>
      <x:c r="G101" s="49" t="n">
        <x:f>LN('Cours Hebdo'!G101/'Cours Hebdo'!G100)</x:f>
        <x:v>-0.07887355835862495</x:v>
      </x:c>
      <x:c r="H101" s="49" t="n">
        <x:f>LN('Cours Hebdo'!H101/'Cours Hebdo'!H100)</x:f>
        <x:v>0.00129257074827105</x:v>
      </x:c>
      <x:c r="I101" s="49" t="n">
        <x:f>LN('Cours Hebdo'!I101/'Cours Hebdo'!I100)</x:f>
        <x:v>-0.0008362312137547221</x:v>
      </x:c>
      <x:c r="J101" s="49" t="n">
        <x:f>LN('Cours Hebdo'!J101/'Cours Hebdo'!J100)</x:f>
        <x:v>-0.00856407995225483</x:v>
      </x:c>
    </x:row>
    <x:row r="102">
      <x:c r="A102" s="18" t="n">
        <x:v>46164</x:v>
      </x:c>
      <x:c r="B102" s="49" t="n">
        <x:f>LN('Cours Hebdo'!B102/'Cours Hebdo'!B101)</x:f>
        <x:v>0.03805449665332206</x:v>
      </x:c>
      <x:c r="C102" s="49" t="n">
        <x:f>LN('Cours Hebdo'!C102/'Cours Hebdo'!C101)</x:f>
        <x:v>0.02031401074503841</x:v>
      </x:c>
      <x:c r="D102" s="49" t="n">
        <x:f>LN('Cours Hebdo'!D102/'Cours Hebdo'!D101)</x:f>
        <x:v>0.05878806080948885</x:v>
      </x:c>
      <x:c r="E102" s="49" t="n">
        <x:f>LN('Cours Hebdo'!E102/'Cours Hebdo'!E101)</x:f>
        <x:v>-0.10322764875643692</x:v>
      </x:c>
      <x:c r="F102" s="49" t="n">
        <x:f>LN('Cours Hebdo'!F102/'Cours Hebdo'!F101)</x:f>
        <x:v>0.0709059444898852</x:v>
      </x:c>
      <x:c r="G102" s="49" t="n">
        <x:f>LN('Cours Hebdo'!G102/'Cours Hebdo'!G101)</x:f>
        <x:v>0.05958163090723999</x:v>
      </x:c>
      <x:c r="H102" s="49" t="n">
        <x:f>LN('Cours Hebdo'!H102/'Cours Hebdo'!H101)</x:f>
        <x:v>0.008731455133097352</x:v>
      </x:c>
      <x:c r="I102" s="49" t="n">
        <x:f>LN('Cours Hebdo'!I102/'Cours Hebdo'!I101)</x:f>
        <x:v>0.004520916466608478</x:v>
      </x:c>
      <x:c r="J102" s="49" t="n">
        <x:f>LN('Cours Hebdo'!J102/'Cours Hebdo'!J101)</x:f>
        <x:v>0.029546664997033827</x:v>
      </x:c>
    </x:row>
    <x:row r="103">
      <x:c r="A103" s="18" t="n">
        <x:v>46171</x:v>
      </x:c>
      <x:c r="B103" s="49" t="n">
        <x:f>LN('Cours Hebdo'!B103/'Cours Hebdo'!B102)</x:f>
        <x:v>-0.02122715833392094</x:v>
      </x:c>
      <x:c r="C103" s="49" t="n">
        <x:f>LN('Cours Hebdo'!C103/'Cours Hebdo'!C102)</x:f>
        <x:v>0.008293743004637586</x:v>
      </x:c>
      <x:c r="D103" s="49" t="n">
        <x:f>LN('Cours Hebdo'!D103/'Cours Hebdo'!D102)</x:f>
        <x:v>0.017153079450733237</x:v>
      </x:c>
      <x:c r="E103" s="49" t="n">
        <x:f>LN('Cours Hebdo'!E103/'Cours Hebdo'!E102)</x:f>
        <x:v>0.024058051235108673</x:v>
      </x:c>
      <x:c r="F103" s="49" t="n">
        <x:f>LN('Cours Hebdo'!F103/'Cours Hebdo'!F102)</x:f>
        <x:v>0.0006220982471542946</x:v>
      </x:c>
      <x:c r="G103" s="49" t="n">
        <x:f>LN('Cours Hebdo'!G103/'Cours Hebdo'!G102)</x:f>
        <x:v>-0.010590619382321765</x:v>
      </x:c>
      <x:c r="H103" s="49" t="n">
        <x:f>LN('Cours Hebdo'!H103/'Cours Hebdo'!H102)</x:f>
        <x:v>0.014161678120469937</x:v>
      </x:c>
      <x:c r="I103" s="49" t="n">
        <x:f>LN('Cours Hebdo'!I103/'Cours Hebdo'!I102)</x:f>
        <x:v>0.023582812563902218</x:v>
      </x:c>
      <x:c r="J103" s="49" t="n">
        <x:f>LN('Cours Hebdo'!J103/'Cours Hebdo'!J102)</x:f>
        <x:v>0.0014067476043384116</x:v>
      </x:c>
    </x:row>
    <x:row r="104">
      <x:c r="A104" s="18" t="n">
        <x:v>46178</x:v>
      </x:c>
      <x:c r="B104" s="49" t="n">
        <x:f>LN('Cours Hebdo'!B104/'Cours Hebdo'!B103)</x:f>
        <x:v>0.024721664593471332</x:v>
      </x:c>
      <x:c r="C104" s="49" t="n">
        <x:f>LN('Cours Hebdo'!C104/'Cours Hebdo'!C103)</x:f>
        <x:v>0.004255741597228648</x:v>
      </x:c>
      <x:c r="D104" s="49" t="n">
        <x:f>LN('Cours Hebdo'!D104/'Cours Hebdo'!D103)</x:f>
        <x:v>-0.025492244293520813</x:v>
      </x:c>
      <x:c r="E104" s="49" t="n">
        <x:f>LN('Cours Hebdo'!E104/'Cours Hebdo'!E103)</x:f>
        <x:v>-0.028773027866425795</x:v>
      </x:c>
      <x:c r="F104" s="49" t="n">
        <x:f>LN('Cours Hebdo'!F104/'Cours Hebdo'!F103)</x:f>
        <x:v>-0.07487365911702198</x:v>
      </x:c>
      <x:c r="G104" s="49" t="n">
        <x:f>LN('Cours Hebdo'!G104/'Cours Hebdo'!G103)</x:f>
        <x:v>-0.01314340449633888</x:v>
      </x:c>
      <x:c r="H104" s="49" t="n">
        <x:f>LN('Cours Hebdo'!H104/'Cours Hebdo'!H103)</x:f>
        <x:v>-0.026240805865162007</x:v>
      </x:c>
      <x:c r="I104" s="49" t="n">
        <x:f>LN('Cours Hebdo'!I104/'Cours Hebdo'!I103)</x:f>
        <x:v>-0.04796440703302461</x:v>
      </x:c>
      <x:c r="J104" s="49" t="n">
        <x:f>LN('Cours Hebdo'!J104/'Cours Hebdo'!J103)</x:f>
        <x:v>-0.005349790805082896</x:v>
      </x:c>
    </x:row>
    <x:row r="105">
      <x:c r="A105" s="18" t="n">
        <x:v>46185</x:v>
      </x:c>
      <x:c r="B105" s="49" t="n">
        <x:f>LN('Cours Hebdo'!B105/'Cours Hebdo'!B104)</x:f>
        <x:v>-0.04033763419968575</x:v>
      </x:c>
      <x:c r="C105" s="49" t="n">
        <x:f>LN('Cours Hebdo'!C105/'Cours Hebdo'!C104)</x:f>
        <x:v>0.016009636345333166</x:v>
      </x:c>
      <x:c r="D105" s="49" t="n">
        <x:f>LN('Cours Hebdo'!D105/'Cours Hebdo'!D104)</x:f>
        <x:v>0.002439439981945045</x:v>
      </x:c>
      <x:c r="E105" s="49" t="n">
        <x:f>LN('Cours Hebdo'!E105/'Cours Hebdo'!E104)</x:f>
        <x:v>-0.08073799768435204</x:v>
      </x:c>
      <x:c r="F105" s="49" t="n">
        <x:f>LN('Cours Hebdo'!F105/'Cours Hebdo'!F104)</x:f>
        <x:v>0.02645654450320483</x:v>
      </x:c>
      <x:c r="G105" s="49" t="n">
        <x:f>LN('Cours Hebdo'!G105/'Cours Hebdo'!G104)</x:f>
        <x:v>-0.004079156383128228</x:v>
      </x:c>
      <x:c r="H105" s="49" t="n">
        <x:f>LN('Cours Hebdo'!H105/'Cours Hebdo'!H104)</x:f>
        <x:v>0.0064420177874595875</x:v>
      </x:c>
      <x:c r="I105" s="49" t="n">
        <x:f>LN('Cours Hebdo'!I105/'Cours Hebdo'!I104)</x:f>
        <x:v>0.006954143265029869</x:v>
      </x:c>
      <x:c r="J105" s="49" t="n">
        <x:f>LN('Cours Hebdo'!J105/'Cours Hebdo'!J104)</x:f>
        <x:v>0.01680157508604508</x:v>
      </x:c>
    </x:row>
    <x:row r="106">
      <x:c r="A106" s="18" t="n">
        <x:v>46192</x:v>
      </x:c>
      <x:c r="B106" s="49" t="n">
        <x:f>LN('Cours Hebdo'!B106/'Cours Hebdo'!B105)</x:f>
        <x:v>-0.03198302737994037</x:v>
      </x:c>
      <x:c r="C106" s="49" t="n">
        <x:f>LN('Cours Hebdo'!C106/'Cours Hebdo'!C105)</x:f>
        <x:v>0.00837943018102199</x:v>
      </x:c>
      <x:c r="D106" s="49" t="n">
        <x:f>LN('Cours Hebdo'!D106/'Cours Hebdo'!D105)</x:f>
        <x:v>-0.07065998242576273</x:v>
      </x:c>
      <x:c r="E106" s="49" t="n">
        <x:f>LN('Cours Hebdo'!E106/'Cours Hebdo'!E105)</x:f>
        <x:v>-0.021630670250327787</x:v>
      </x:c>
      <x:c r="F106" s="49" t="n">
        <x:f>LN('Cours Hebdo'!F106/'Cours Hebdo'!F105)</x:f>
        <x:v>-0.03453195073479477</x:v>
      </x:c>
      <x:c r="G106" s="49" t="n">
        <x:f>LN('Cours Hebdo'!G106/'Cours Hebdo'!G105)</x:f>
        <x:v>-0.032401617150706996</x:v>
      </x:c>
      <x:c r="H106" s="49" t="n">
        <x:f>LN('Cours Hebdo'!H106/'Cours Hebdo'!H105)</x:f>
        <x:v>0.00925802645887385</x:v>
      </x:c>
      <x:c r="I106" s="49" t="n">
        <x:f>LN('Cours Hebdo'!I106/'Cours Hebdo'!I105)</x:f>
        <x:v>0.024009114407882656</x:v>
      </x:c>
      <x:c r="J106" s="49" t="n">
        <x:f>LN('Cours Hebdo'!J106/'Cours Hebdo'!J105)</x:f>
        <x:v>0.0037829892769813606</x:v>
      </x:c>
    </x:row>
    <x:row r="107">
      <x:c r="A107" s="18" t="n">
        <x:v>46199</x:v>
      </x:c>
      <x:c r="B107" s="49" t="n">
        <x:f>LN('Cours Hebdo'!B107/'Cours Hebdo'!B106)</x:f>
        <x:v>0.07811777926395207</x:v>
      </x:c>
      <x:c r="C107" s="49" t="n">
        <x:f>LN('Cours Hebdo'!C107/'Cours Hebdo'!C106)</x:f>
        <x:v>-0.0043162640108687315</x:v>
      </x:c>
      <x:c r="D107" s="49" t="n">
        <x:f>LN('Cours Hebdo'!D107/'Cours Hebdo'!D106)</x:f>
        <x:v>0.05699236501458577</x:v>
      </x:c>
      <x:c r="E107" s="49" t="n">
        <x:f>LN('Cours Hebdo'!E107/'Cours Hebdo'!E106)</x:f>
        <x:v>0.08977930730190706</x:v>
      </x:c>
      <x:c r="F107" s="49" t="n">
        <x:f>LN('Cours Hebdo'!F107/'Cours Hebdo'!F106)</x:f>
        <x:v>0.054564958097700955</x:v>
      </x:c>
      <x:c r="G107" s="49" t="n">
        <x:f>LN('Cours Hebdo'!G107/'Cours Hebdo'!G106)</x:f>
        <x:v>0.034851076069738404</x:v>
      </x:c>
      <x:c r="H107" s="49" t="n">
        <x:f>LN('Cours Hebdo'!H107/'Cours Hebdo'!H106)</x:f>
        <x:v>-0.019733256161772288</x:v>
      </x:c>
      <x:c r="I107" s="49" t="n">
        <x:f>LN('Cours Hebdo'!I107/'Cours Hebdo'!I106)</x:f>
        <x:v>-0.047110809996470285</x:v>
      </x:c>
      <x:c r="J107" s="49" t="n">
        <x:f>LN('Cours Hebdo'!J107/'Cours Hebdo'!J106)</x:f>
        <x:v>0.00042472931345592495</x:v>
      </x:c>
    </x:row>
    <x:row r="108">
      <x:c r="A108" s="18" t="n">
        <x:v>46206</x:v>
      </x:c>
      <x:c r="B108" s="49" t="n">
        <x:f>LN('Cours Hebdo'!B108/'Cours Hebdo'!B107)</x:f>
        <x:v>0.03521088901315259</x:v>
      </x:c>
      <x:c r="C108" s="49" t="n">
        <x:f>LN('Cours Hebdo'!C108/'Cours Hebdo'!C107)</x:f>
        <x:v>0.01458625632943563</x:v>
      </x:c>
      <x:c r="D108" s="49" t="n">
        <x:f>LN('Cours Hebdo'!D108/'Cours Hebdo'!D107)</x:f>
        <x:v>0.05291509253109994</x:v>
      </x:c>
      <x:c r="E108" s="49" t="n">
        <x:f>LN('Cours Hebdo'!E108/'Cours Hebdo'!E107)</x:f>
        <x:v>0.13071208265935888</x:v>
      </x:c>
      <x:c r="F108" s="49" t="n">
        <x:f>LN('Cours Hebdo'!F108/'Cours Hebdo'!F107)</x:f>
        <x:v>0.1271933641661638</x:v>
      </x:c>
      <x:c r="G108" s="49" t="n">
        <x:f>LN('Cours Hebdo'!G108/'Cours Hebdo'!G107)</x:f>
        <x:v>0.057056493275852764</x:v>
      </x:c>
      <x:c r="H108" s="49" t="n">
        <x:f>LN('Cours Hebdo'!H108/'Cours Hebdo'!H107)</x:f>
        <x:v>0.01741877946238954</x:v>
      </x:c>
      <x:c r="I108" s="49" t="n">
        <x:f>LN('Cours Hebdo'!I108/'Cours Hebdo'!I107)</x:f>
        <x:v>0.020929680726220895</x:v>
      </x:c>
      <x:c r="J108" s="49" t="n">
        <x:f>LN('Cours Hebdo'!J108/'Cours Hebdo'!J107)</x:f>
        <x:v>0.02621500266061131</x:v>
      </x:c>
    </x:row>
    <x:row r="109">
      <x:c r="A109" s="18" t="n">
        <x:v>46213</x:v>
      </x:c>
      <x:c r="B109" s="49" t="n">
        <x:f>LN('Cours Hebdo'!B109/'Cours Hebdo'!B108)</x:f>
        <x:v>-0.022574322427349462</x:v>
      </x:c>
      <x:c r="C109" s="49" t="n">
        <x:f>LN('Cours Hebdo'!C109/'Cours Hebdo'!C108)</x:f>
        <x:v>-0.02007548683012633</x:v>
      </x:c>
      <x:c r="D109" s="49" t="n">
        <x:f>LN('Cours Hebdo'!D109/'Cours Hebdo'!D108)</x:f>
        <x:v>-0.025420790016414275</x:v>
      </x:c>
      <x:c r="E109" s="49" t="n">
        <x:f>LN('Cours Hebdo'!E109/'Cours Hebdo'!E108)</x:f>
        <x:v>0.02150623128640409</x:v>
      </x:c>
      <x:c r="F109" s="49" t="n">
        <x:f>LN('Cours Hebdo'!F109/'Cours Hebdo'!F108)</x:f>
        <x:v>-0.04376059370914607</x:v>
      </x:c>
      <x:c r="G109" s="49" t="n">
        <x:f>LN('Cours Hebdo'!G109/'Cours Hebdo'!G108)</x:f>
        <x:v>0.0046109182035499645</x:v>
      </x:c>
      <x:c r="H109" s="49" t="n">
        <x:f>LN('Cours Hebdo'!H109/'Cours Hebdo'!H108)</x:f>
        <x:v>0.012238968664375004</x:v>
      </x:c>
      <x:c r="I109" s="49" t="n">
        <x:f>LN('Cours Hebdo'!I109/'Cours Hebdo'!I108)</x:f>
        <x:v>0.0172294643592195</x:v>
      </x:c>
      <x:c r="J109" s="49" t="n">
        <x:f>LN('Cours Hebdo'!J109/'Cours Hebdo'!J108)</x:f>
        <x:v>-0.018039463720418394</x:v>
      </x:c>
    </x:row>
  </x:sheetData>
  <x:mergeCells>
    <x:mergeCell ref="A1:J1"/>
    <x:mergeCell ref="A2:J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7" hidden="0" customWidth="1"/>
    <x:col min="3" max="3" width="17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8" hidden="0" customWidth="1"/>
  </x:cols>
  <x:sheetData>
    <x:row r="1" ht="28" customHeight="1">
      <x:c r="A1" s="192" t="str">
        <x:v>RÉGRESSIONS OLS — BÊTAS LEVERED</x:v>
      </x:c>
      <x:c r="B1" s="192" t="str">
        <x:v>RÉGRESSIONS OLS — BÊTAS LEVERED</x:v>
      </x:c>
      <x:c r="C1" s="192" t="str">
        <x:v>RÉGRESSIONS OLS — BÊTAS LEVERED</x:v>
      </x:c>
      <x:c r="D1" s="192" t="str">
        <x:v>RÉGRESSIONS OLS — BÊTAS LEVERED</x:v>
      </x:c>
      <x:c r="E1" s="192" t="str">
        <x:v>RÉGRESSIONS OLS — BÊTAS LEVERED</x:v>
      </x:c>
      <x:c r="F1" s="192" t="str">
        <x:v>RÉGRESSIONS OLS — BÊTAS LEVERED</x:v>
      </x:c>
      <x:c r="G1" s="192" t="str">
        <x:v>RÉGRESSIONS OLS — BÊTAS LEVERED</x:v>
      </x:c>
      <x:c r="H1" s="192" t="str">
        <x:v>RÉGRESSIONS OLS — BÊTAS LEVERED</x:v>
      </x:c>
      <x:c r="I1" s="192" t="str">
        <x:v>RÉGRESSIONS OLS — BÊTAS LEVERED</x:v>
      </x:c>
      <x:c r="J1" s="192" t="str">
        <x:v>RÉGRESSIONS OLS — BÊTAS LEVERED</x:v>
      </x:c>
      <x:c r="K1" s="192" t="str">
        <x:v>RÉGRESSIONS OLS — BÊTAS LEVERED</x:v>
      </x:c>
      <x:c r="L1" s="192" t="str">
        <x:v>RÉGRESSIONS OLS — BÊTAS LEVERED</x:v>
      </x:c>
      <x:c r="M1" s="192" t="str">
        <x:v>RÉGRESSIONS OLS — BÊTAS LEVERED</x:v>
      </x:c>
      <x:c r="N1" s="192" t="str">
        <x:v>RÉGRESSIONS OLS — BÊTAS LEVERED</x:v>
      </x:c>
    </x:row>
    <x:row r="2">
      <x:c r="A2" s="44" t="str">
        <x:v>Régression : rendement action = alpha + bêta × rendement marché + erreur. Les intervalles utilisent la loi de Student à 95%.</x:v>
      </x:c>
      <x:c r="B2" s="44"/>
      <x:c r="C2" s="44"/>
      <x:c r="D2" s="44"/>
      <x:c r="E2" s="44"/>
      <x:c r="F2" s="44"/>
      <x:c r="G2" s="44"/>
      <x:c r="H2" s="44"/>
      <x:c r="I2" s="44"/>
      <x:c r="J2" s="44"/>
      <x:c r="K2" s="44"/>
      <x:c r="L2" s="44"/>
      <x:c r="M2" s="44"/>
      <x:c r="N2" s="44"/>
    </x:row>
    <x:row r="4" ht="22" customHeight="1">
      <x:c r="A4" s="192" t="str">
        <x:v>SPÉCIFICATION PRINCIPALE — marché large</x:v>
      </x:c>
      <x:c r="B4" s="192" t="str">
        <x:v>SPÉCIFICATION PRINCIPALE — marché large</x:v>
      </x:c>
      <x:c r="C4" s="192" t="str">
        <x:v>SPÉCIFICATION PRINCIPALE — marché large</x:v>
      </x:c>
      <x:c r="D4" s="192" t="str">
        <x:v>SPÉCIFICATION PRINCIPALE — marché large</x:v>
      </x:c>
      <x:c r="E4" s="192" t="str">
        <x:v>SPÉCIFICATION PRINCIPALE — marché large</x:v>
      </x:c>
      <x:c r="F4" s="192" t="str">
        <x:v>SPÉCIFICATION PRINCIPALE — marché large</x:v>
      </x:c>
      <x:c r="G4" s="192" t="str">
        <x:v>SPÉCIFICATION PRINCIPALE — marché large</x:v>
      </x:c>
      <x:c r="H4" s="192" t="str">
        <x:v>SPÉCIFICATION PRINCIPALE — marché large</x:v>
      </x:c>
      <x:c r="I4" s="192" t="str">
        <x:v>SPÉCIFICATION PRINCIPALE — marché large</x:v>
      </x:c>
      <x:c r="J4" s="192" t="str">
        <x:v>SPÉCIFICATION PRINCIPALE — marché large</x:v>
      </x:c>
      <x:c r="K4" s="192" t="str">
        <x:v>SPÉCIFICATION PRINCIPALE — marché large</x:v>
      </x:c>
      <x:c r="L4" s="192" t="str">
        <x:v>SPÉCIFICATION PRINCIPALE — marché large</x:v>
      </x:c>
      <x:c r="M4" s="192" t="str">
        <x:v>SPÉCIFICATION PRINCIPALE — marché large</x:v>
      </x:c>
      <x:c r="N4" s="192" t="str">
        <x:v>SPÉCIFICATION PRINCIPALE — marché large</x:v>
      </x:c>
    </x:row>
    <x:row r="5" ht="28" customHeight="1">
      <x:c r="A5" s="15" t="str">
        <x:v>Société</x:v>
      </x:c>
      <x:c r="B5" s="16" t="str">
        <x:v>Action</x:v>
      </x:c>
      <x:c r="C5" s="16" t="str">
        <x:v>Indice</x:v>
      </x:c>
      <x:c r="D5" s="16" t="str">
        <x:v>N</x:v>
      </x:c>
      <x:c r="E5" s="16" t="str">
        <x:v>Bêta</x:v>
      </x:c>
      <x:c r="F5" s="16" t="str">
        <x:v>Alpha hebdo</x:v>
      </x:c>
      <x:c r="G5" s="16" t="str">
        <x:v>Alpha annualisé</x:v>
      </x:c>
      <x:c r="H5" s="16" t="str">
        <x:v>R²</x:v>
      </x:c>
      <x:c r="I5" s="16" t="str">
        <x:v>SE bêta</x:v>
      </x:c>
      <x:c r="J5" s="16" t="str">
        <x:v>t-stat</x:v>
      </x:c>
      <x:c r="K5" s="16" t="str">
        <x:v>p-value</x:v>
      </x:c>
      <x:c r="L5" s="16" t="str">
        <x:v>IC 95% bas</x:v>
      </x:c>
      <x:c r="M5" s="16" t="str">
        <x:v>IC 95% haut</x:v>
      </x:c>
      <x:c r="N5" s="17" t="str">
        <x:v>Lecture</x:v>
      </x:c>
    </x:row>
    <x:row r="6">
      <x:c r="A6" t="str">
        <x:v>Sidetrade</x:v>
      </x:c>
      <x:c r="B6" t="str">
        <x:v>ALBFR.PA</x:v>
      </x:c>
      <x:c r="C6" t="str">
        <x:v>CAC 40</x:v>
      </x:c>
      <x:c r="D6" s="50" t="n">
        <x:f>COUNT('Rendements'!$B$6:$B$109)</x:f>
        <x:v>104</x:v>
      </x:c>
      <x:c r="E6" s="53" t="n">
        <x:f>SLOPE('Rendements'!$B$6:$B$109,'Rendements'!$C$6:$C$109)</x:f>
        <x:v>0.17668190948166138</x:v>
      </x:c>
      <x:c r="F6" s="49" t="n">
        <x:f>INTERCEPT('Rendements'!$B$6:$B$109,'Rendements'!$C$6:$C$109)</x:f>
        <x:v>-0.00011909252929571135</x:v>
      </x:c>
      <x:c r="G6" s="49" t="n">
        <x:f>EXP(F6*52)-1</x:f>
        <x:v>-0.0061736755882186856</x:v>
      </x:c>
      <x:c r="H6" s="49" t="n">
        <x:f>RSQ('Rendements'!$B$6:$B$109,'Rendements'!$C$6:$C$109)</x:f>
        <x:v>0.004386062249813775</x:v>
      </x:c>
      <x:c r="I6" s="53" t="n">
        <x:f>STEYX('Rendements'!$B$6:$B$109,'Rendements'!$C$6:$C$109)/SQRT(DEVSQ('Rendements'!$C$6:$C$109))</x:f>
        <x:v>0.26357249437248353</x:v>
      </x:c>
      <x:c r="J6" s="56" t="n">
        <x:f>E6/I6</x:f>
        <x:v>0.6703351573247721</x:v>
      </x:c>
      <x:c r="K6" s="61" t="n">
        <x:v>0.5041590569475807</x:v>
      </x:c>
      <x:c r="L6" s="53" t="n">
        <x:v>-0.3461128795055882</x:v>
      </x:c>
      <x:c r="M6" s="53" t="n">
        <x:v>0.699476698468911</x:v>
      </x:c>
      <x:c r="N6" t="str">
        <x:v>Non significatif</x:v>
      </x:c>
    </x:row>
    <x:row r="7">
      <x:c r="A7" t="str">
        <x:v>BlackLine</x:v>
      </x:c>
      <x:c r="B7" t="str">
        <x:v>BL</x:v>
      </x:c>
      <x:c r="C7" t="str">
        <x:v>S&amp;P 500</x:v>
      </x:c>
      <x:c r="D7" s="50" t="n">
        <x:f>COUNT('Rendements'!$D$6:$D$109)</x:f>
        <x:v>104</x:v>
      </x:c>
      <x:c r="E7" s="53" t="n">
        <x:f>SLOPE('Rendements'!$D$6:$D$109,'Rendements'!$H$6:$H$109)</x:f>
        <x:v>0.71971998600094</x:v>
      </x:c>
      <x:c r="F7" s="49" t="n">
        <x:f>INTERCEPT('Rendements'!$D$6:$D$109,'Rendements'!$H$6:$H$109)</x:f>
        <x:v>-0.006872201655593638</x:v>
      </x:c>
      <x:c r="G7" s="49" t="n">
        <x:f>EXP(F7*52)-1</x:f>
        <x:v>-0.3004755179209615</x:v>
      </x:c>
      <x:c r="H7" s="49" t="n">
        <x:f>RSQ('Rendements'!$D$6:$D$109,'Rendements'!$H$6:$H$109)</x:f>
        <x:v>0.0703973858419167</x:v>
      </x:c>
      <x:c r="I7" s="53" t="n">
        <x:f>STEYX('Rendements'!$D$6:$D$109,'Rendements'!$H$6:$H$109)/SQRT(DEVSQ('Rendements'!$H$6:$H$109))</x:f>
        <x:v>0.25896071113435104</x:v>
      </x:c>
      <x:c r="J7" s="56" t="n">
        <x:f>E7/I7</x:f>
        <x:v>2.7792632436336766</x:v>
      </x:c>
      <x:c r="K7" s="61" t="n">
        <x:v>0.006487612978239421</x:v>
      </x:c>
      <x:c r="L7" s="53" t="n">
        <x:v>0.2060726471320138</x:v>
      </x:c>
      <x:c r="M7" s="53" t="n">
        <x:v>1.233367324869866</x:v>
      </x:c>
      <x:c r="N7" t="str">
        <x:v>Significatif</x:v>
      </x:c>
    </x:row>
    <x:row r="8">
      <x:c r="A8" t="str">
        <x:v>BILL</x:v>
      </x:c>
      <x:c r="B8" t="str">
        <x:v>BILL</x:v>
      </x:c>
      <x:c r="C8" t="str">
        <x:v>S&amp;P 500</x:v>
      </x:c>
      <x:c r="D8" s="50" t="n">
        <x:f>COUNT('Rendements'!$E$6:$E$109)</x:f>
        <x:v>104</x:v>
      </x:c>
      <x:c r="E8" s="53" t="n">
        <x:f>SLOPE('Rendements'!$E$6:$E$109,'Rendements'!$H$6:$H$109)</x:f>
        <x:v>1.527124471493801</x:v>
      </x:c>
      <x:c r="F8" s="49" t="n">
        <x:f>INTERCEPT('Rendements'!$E$6:$E$109,'Rendements'!$H$6:$H$109)</x:f>
        <x:v>-0.0064597972091204915</x:v>
      </x:c>
      <x:c r="G8" s="49" t="n">
        <x:f>EXP(F8*52)-1</x:f>
        <x:v>-0.2853121856154952</x:v>
      </x:c>
      <x:c r="H8" s="49" t="n">
        <x:f>RSQ('Rendements'!$E$6:$E$109,'Rendements'!$H$6:$H$109)</x:f>
        <x:v>0.15476871207878515</x:v>
      </x:c>
      <x:c r="I8" s="53" t="n">
        <x:f>STEYX('Rendements'!$E$6:$E$109,'Rendements'!$H$6:$H$109)/SQRT(DEVSQ('Rendements'!$H$6:$H$109))</x:f>
        <x:v>0.35336257326115705</x:v>
      </x:c>
      <x:c r="J8" s="56" t="n">
        <x:f>E8/I8</x:f>
        <x:v>4.32169275144247</x:v>
      </x:c>
      <x:c r="K8" s="61" t="n">
        <x:v>0.000036063009149524634</x:v>
      </x:c>
      <x:c r="L8" s="53" t="n">
        <x:v>0.8262314880894435</x:v>
      </x:c>
      <x:c r="M8" s="53" t="n">
        <x:v>2.2280174548981577</x:v>
      </x:c>
      <x:c r="N8" t="str">
        <x:v>Significatif</x:v>
      </x:c>
    </x:row>
    <x:row r="9">
      <x:c r="A9" t="str">
        <x:v>nCino</x:v>
      </x:c>
      <x:c r="B9" t="str">
        <x:v>NCNO</x:v>
      </x:c>
      <x:c r="C9" t="str">
        <x:v>S&amp;P 500</x:v>
      </x:c>
      <x:c r="D9" s="50" t="n">
        <x:f>COUNT('Rendements'!$F$6:$F$109)</x:f>
        <x:v>104</x:v>
      </x:c>
      <x:c r="E9" s="53" t="n">
        <x:f>SLOPE('Rendements'!$F$6:$F$109,'Rendements'!$H$6:$H$109)</x:f>
        <x:v>1.5500010875974932</x:v>
      </x:c>
      <x:c r="F9" s="49" t="n">
        <x:f>INTERCEPT('Rendements'!$F$6:$F$109,'Rendements'!$H$6:$H$109)</x:f>
        <x:v>-0.01035557729881376</x:v>
      </x:c>
      <x:c r="G9" s="49" t="n">
        <x:f>EXP(F9*52)-1</x:f>
        <x:v>-0.41637114447138346</x:v>
      </x:c>
      <x:c r="H9" s="49" t="n">
        <x:f>RSQ('Rendements'!$F$6:$F$109,'Rendements'!$H$6:$H$109)</x:f>
        <x:v>0.2348292758986908</x:v>
      </x:c>
      <x:c r="I9" s="53" t="n">
        <x:f>STEYX('Rendements'!$F$6:$F$109,'Rendements'!$H$6:$H$109)/SQRT(DEVSQ('Rendements'!$H$6:$H$109))</x:f>
        <x:v>0.27703521040833606</x:v>
      </x:c>
      <x:c r="J9" s="56" t="n">
        <x:f>E9/I9</x:f>
        <x:v>5.594960601985823</x:v>
      </x:c>
      <x:c r="K9" s="61" t="n">
        <x:v>1.862864953674833e-7</x:v>
      </x:c>
      <x:c r="L9" s="53" t="n">
        <x:v>1.0005030653843503</x:v>
      </x:c>
      <x:c r="M9" s="53" t="n">
        <x:v>2.099499109810636</x:v>
      </x:c>
      <x:c r="N9" t="str">
        <x:v>Significatif</x:v>
      </x:c>
    </x:row>
    <x:row r="10">
      <x:c r="A10" t="str">
        <x:v>Workiva</x:v>
      </x:c>
      <x:c r="B10" t="str">
        <x:v>WK</x:v>
      </x:c>
      <x:c r="C10" t="str">
        <x:v>S&amp;P 500</x:v>
      </x:c>
      <x:c r="D10" s="50" t="n">
        <x:f>COUNT('Rendements'!$G$6:$G$109)</x:f>
        <x:v>104</x:v>
      </x:c>
      <x:c r="E10" s="53" t="n">
        <x:f>SLOPE('Rendements'!$G$6:$G$109,'Rendements'!$H$6:$H$109)</x:f>
        <x:v>0.7365002591919166</x:v>
      </x:c>
      <x:c r="F10" s="49" t="n">
        <x:f>INTERCEPT('Rendements'!$G$6:$G$109,'Rendements'!$H$6:$H$109)</x:f>
        <x:v>-0.005524191674101459</x:v>
      </x:c>
      <x:c r="G10" s="49" t="n">
        <x:f>EXP(F10*52)-1</x:f>
        <x:v>-0.24968185349206407</x:v>
      </x:c>
      <x:c r="H10" s="49" t="n">
        <x:f>RSQ('Rendements'!$G$6:$G$109,'Rendements'!$H$6:$H$109)</x:f>
        <x:v>0.07227117013643317</x:v>
      </x:c>
      <x:c r="I10" s="53" t="n">
        <x:f>STEYX('Rendements'!$G$6:$G$109,'Rendements'!$H$6:$H$109)/SQRT(DEVSQ('Rendements'!$H$6:$H$109))</x:f>
        <x:v>0.2612767717054817</x:v>
      </x:c>
      <x:c r="J10" s="56" t="n">
        <x:f>E10/I10</x:f>
        <x:v>2.818850885153005</x:v>
      </x:c>
      <x:c r="K10" s="61" t="n">
        <x:v>0.005790304814517621</x:v>
      </x:c>
      <x:c r="L10" s="53" t="n">
        <x:v>0.21825902519577445</x:v>
      </x:c>
      <x:c r="M10" s="53" t="n">
        <x:v>1.2547414931880585</x:v>
      </x:c>
      <x:c r="N10" t="str">
        <x:v>Significatif</x:v>
      </x:c>
    </x:row>
    <x:row r="11">
      <x:c r="D11" s="50"/>
      <x:c r="E11" s="53"/>
      <x:c r="F11" s="49"/>
      <x:c r="G11" s="49"/>
      <x:c r="H11" s="49"/>
      <x:c r="I11" s="53"/>
      <x:c r="J11" s="56"/>
      <x:c r="K11" s="61"/>
      <x:c r="L11" s="53"/>
      <x:c r="M11" s="53"/>
    </x:row>
    <x:row r="12">
      <x:c r="D12" s="50"/>
      <x:c r="E12" s="53"/>
      <x:c r="F12" s="49"/>
      <x:c r="G12" s="49"/>
      <x:c r="H12" s="49"/>
      <x:c r="I12" s="53"/>
      <x:c r="J12" s="56"/>
      <x:c r="K12" s="61"/>
      <x:c r="L12" s="53"/>
      <x:c r="M12" s="53"/>
    </x:row>
    <x:row r="13" ht="22" customHeight="1">
      <x:c r="A13" s="192" t="str">
        <x:v>SENSIBILITÉ — indice technologique / européen</x:v>
      </x:c>
      <x:c r="B13" s="192" t="str">
        <x:v>SENSIBILITÉ — indice technologique / européen</x:v>
      </x:c>
      <x:c r="C13" s="192" t="str">
        <x:v>SENSIBILITÉ — indice technologique / européen</x:v>
      </x:c>
      <x:c r="D13" s="193" t="str">
        <x:v>SENSIBILITÉ — indice technologique / européen</x:v>
      </x:c>
      <x:c r="E13" s="194" t="str">
        <x:v>SENSIBILITÉ — indice technologique / européen</x:v>
      </x:c>
      <x:c r="F13" s="195" t="str">
        <x:v>SENSIBILITÉ — indice technologique / européen</x:v>
      </x:c>
      <x:c r="G13" s="195" t="str">
        <x:v>SENSIBILITÉ — indice technologique / européen</x:v>
      </x:c>
      <x:c r="H13" s="195" t="str">
        <x:v>SENSIBILITÉ — indice technologique / européen</x:v>
      </x:c>
      <x:c r="I13" s="194" t="str">
        <x:v>SENSIBILITÉ — indice technologique / européen</x:v>
      </x:c>
      <x:c r="J13" s="196" t="str">
        <x:v>SENSIBILITÉ — indice technologique / européen</x:v>
      </x:c>
      <x:c r="K13" s="197" t="str">
        <x:v>SENSIBILITÉ — indice technologique / européen</x:v>
      </x:c>
      <x:c r="L13" s="194" t="str">
        <x:v>SENSIBILITÉ — indice technologique / européen</x:v>
      </x:c>
      <x:c r="M13" s="194" t="str">
        <x:v>SENSIBILITÉ — indice technologique / européen</x:v>
      </x:c>
      <x:c r="N13" s="192" t="str">
        <x:v>SENSIBILITÉ — indice technologique / européen</x:v>
      </x:c>
    </x:row>
    <x:row r="14" ht="28" customHeight="1">
      <x:c r="A14" s="15" t="str">
        <x:v>Société</x:v>
      </x:c>
      <x:c r="B14" s="16" t="str">
        <x:v>Action</x:v>
      </x:c>
      <x:c r="C14" s="16" t="str">
        <x:v>Indice</x:v>
      </x:c>
      <x:c r="D14" s="52" t="str">
        <x:v>N</x:v>
      </x:c>
      <x:c r="E14" s="55" t="str">
        <x:v>Bêta</x:v>
      </x:c>
      <x:c r="F14" s="60" t="str">
        <x:v>Alpha hebdo</x:v>
      </x:c>
      <x:c r="G14" s="60" t="str">
        <x:v>Alpha annualisé</x:v>
      </x:c>
      <x:c r="H14" s="60" t="str">
        <x:v>R²</x:v>
      </x:c>
      <x:c r="I14" s="55" t="str">
        <x:v>SE bêta</x:v>
      </x:c>
      <x:c r="J14" s="58" t="str">
        <x:v>t-stat</x:v>
      </x:c>
      <x:c r="K14" s="63" t="str">
        <x:v>p-value</x:v>
      </x:c>
      <x:c r="L14" s="55" t="str">
        <x:v>IC 95% bas</x:v>
      </x:c>
      <x:c r="M14" s="55" t="str">
        <x:v>IC 95% haut</x:v>
      </x:c>
      <x:c r="N14" s="17" t="str">
        <x:v>Lecture</x:v>
      </x:c>
    </x:row>
    <x:row r="15">
      <x:c r="A15" t="str">
        <x:v>Sidetrade</x:v>
      </x:c>
      <x:c r="B15" t="str">
        <x:v>ALBFR.PA</x:v>
      </x:c>
      <x:c r="C15" t="str">
        <x:v>STOXX Europe 600</x:v>
      </x:c>
      <x:c r="D15" s="50" t="n">
        <x:f>COUNT('Rendements'!$B$6:$B$109)</x:f>
        <x:v>104</x:v>
      </x:c>
      <x:c r="E15" s="53" t="n">
        <x:f>SLOPE('Rendements'!$B$6:$B$109,'Rendements'!$J$6:$J$109)</x:f>
        <x:v>0.056146171111084636</x:v>
      </x:c>
      <x:c r="F15" s="49" t="n">
        <x:f>INTERCEPT('Rendements'!$B$6:$B$109,'Rendements'!$J$6:$J$109)</x:f>
        <x:v>-0.00009782279159894968</x:v>
      </x:c>
      <x:c r="G15" s="49" t="n">
        <x:f>EXP(F15*52)-1</x:f>
        <x:v>-0.005073869380714413</x:v>
      </x:c>
      <x:c r="H15" s="49" t="n">
        <x:f>RSQ('Rendements'!$B$6:$B$109,'Rendements'!$J$6:$J$109)</x:f>
        <x:v>0.00035330117815881266</x:v>
      </x:c>
      <x:c r="I15" s="53" t="n">
        <x:f>STEYX('Rendements'!$B$6:$B$109,'Rendements'!$J$6:$J$109)/SQRT(DEVSQ('Rendements'!$J$6:$J$109))</x:f>
        <x:v>0.2957132499137975</x:v>
      </x:c>
      <x:c r="J15" s="56" t="n">
        <x:f>E15/I15</x:f>
        <x:v>0.18986694416787764</x:v>
      </x:c>
      <x:c r="K15" s="61" t="n">
        <x:v>0.8497907325869776</x:v>
      </x:c>
      <x:c r="L15" s="53" t="n">
        <x:v>-0.5303996536248565</x:v>
      </x:c>
      <x:c r="M15" s="53" t="n">
        <x:v>0.6426919958470259</x:v>
      </x:c>
      <x:c r="N15" t="str">
        <x:v>Non significatif</x:v>
      </x:c>
    </x:row>
    <x:row r="16">
      <x:c r="A16" t="str">
        <x:v>BlackLine</x:v>
      </x:c>
      <x:c r="B16" t="str">
        <x:v>BL</x:v>
      </x:c>
      <x:c r="C16" t="str">
        <x:v>Nasdaq Composite</x:v>
      </x:c>
      <x:c r="D16" s="50" t="n">
        <x:f>COUNT('Rendements'!$D$6:$D$109)</x:f>
        <x:v>104</x:v>
      </x:c>
      <x:c r="E16" s="53" t="n">
        <x:f>SLOPE('Rendements'!$D$6:$D$109,'Rendements'!$I$6:$I$109)</x:f>
        <x:v>0.4857181907185332</x:v>
      </x:c>
      <x:c r="F16" s="49" t="n">
        <x:f>INTERCEPT('Rendements'!$D$6:$D$109,'Rendements'!$I$6:$I$109)</x:f>
        <x:v>-0.006465699402027996</x:v>
      </x:c>
      <x:c r="G16" s="49" t="n">
        <x:f>EXP(F16*52)-1</x:f>
        <x:v>-0.2855314996766478</x:v>
      </x:c>
      <x:c r="H16" s="49" t="n">
        <x:f>RSQ('Rendements'!$D$6:$D$109,'Rendements'!$I$6:$I$109)</x:f>
        <x:v>0.05709243515576557</x:v>
      </x:c>
      <x:c r="I16" s="53" t="n">
        <x:f>STEYX('Rendements'!$D$6:$D$109,'Rendements'!$I$6:$I$109)/SQRT(DEVSQ('Rendements'!$I$6:$I$109))</x:f>
        <x:v>0.1954472477263645</x:v>
      </x:c>
      <x:c r="J16" s="56" t="n">
        <x:f>E16/I16</x:f>
        <x:v>2.4851626020263122</x:v>
      </x:c>
      <x:c r="K16" s="61" t="n">
        <x:v>0.014575237633150844</x:v>
      </x:c>
      <x:c r="L16" s="53" t="n">
        <x:v>0.0980495044373188</x:v>
      </x:c>
      <x:c r="M16" s="53" t="n">
        <x:v>0.8733868769997477</x:v>
      </x:c>
      <x:c r="N16" t="str">
        <x:v>Significatif</x:v>
      </x:c>
    </x:row>
    <x:row r="17">
      <x:c r="A17" t="str">
        <x:v>BILL</x:v>
      </x:c>
      <x:c r="B17" t="str">
        <x:v>BILL</x:v>
      </x:c>
      <x:c r="C17" t="str">
        <x:v>Nasdaq Composite</x:v>
      </x:c>
      <x:c r="D17" s="50" t="n">
        <x:f>COUNT('Rendements'!$E$6:$E$109)</x:f>
        <x:v>104</x:v>
      </x:c>
      <x:c r="E17" s="53" t="n">
        <x:f>SLOPE('Rendements'!$E$6:$E$109,'Rendements'!$I$6:$I$109)</x:f>
        <x:v>1.0028829189141422</x:v>
      </x:c>
      <x:c r="F17" s="49" t="n">
        <x:f>INTERCEPT('Rendements'!$E$6:$E$109,'Rendements'!$I$6:$I$109)</x:f>
        <x:v>-0.0055021880069341025</x:v>
      </x:c>
      <x:c r="G17" s="49" t="n">
        <x:f>EXP(F17*52)-1</x:f>
        <x:v>-0.24882285511700575</x:v>
      </x:c>
      <x:c r="H17" s="49" t="n">
        <x:f>RSQ('Rendements'!$E$6:$E$109,'Rendements'!$I$6:$I$109)</x:f>
        <x:v>0.11885437917934982</x:v>
      </x:c>
      <x:c r="I17" s="53" t="n">
        <x:f>STEYX('Rendements'!$E$6:$E$109,'Rendements'!$I$6:$I$109)/SQRT(DEVSQ('Rendements'!$I$6:$I$109))</x:f>
        <x:v>0.27037491644513906</x:v>
      </x:c>
      <x:c r="J17" s="56" t="n">
        <x:f>E17/I17</x:f>
        <x:v>3.7092306198368594</x:v>
      </x:c>
      <x:c r="K17" s="61" t="n">
        <x:v>0.00033858861710548316</x:v>
      </x:c>
      <x:c r="L17" s="53" t="n">
        <x:v>0.466595558099385</x:v>
      </x:c>
      <x:c r="M17" s="53" t="n">
        <x:v>1.5391702797288997</x:v>
      </x:c>
      <x:c r="N17" t="str">
        <x:v>Significatif</x:v>
      </x:c>
    </x:row>
    <x:row r="18">
      <x:c r="A18" t="str">
        <x:v>nCino</x:v>
      </x:c>
      <x:c r="B18" t="str">
        <x:v>NCNO</x:v>
      </x:c>
      <x:c r="C18" t="str">
        <x:v>Nasdaq Composite</x:v>
      </x:c>
      <x:c r="D18" s="50" t="n">
        <x:f>COUNT('Rendements'!$F$6:$F$109)</x:f>
        <x:v>104</x:v>
      </x:c>
      <x:c r="E18" s="53" t="n">
        <x:f>SLOPE('Rendements'!$F$6:$F$109,'Rendements'!$I$6:$I$109)</x:f>
        <x:v>1.049477803332901</x:v>
      </x:c>
      <x:c r="F18" s="49" t="n">
        <x:f>INTERCEPT('Rendements'!$F$6:$F$109,'Rendements'!$I$6:$I$109)</x:f>
        <x:v>-0.009491877694244899</x:v>
      </x:c>
      <x:c r="G18" s="49" t="n">
        <x:f>EXP(F18*52)-1</x:f>
        <x:v>-0.38956144658314784</x:v>
      </x:c>
      <x:c r="H18" s="49" t="n">
        <x:f>RSQ('Rendements'!$F$6:$F$109,'Rendements'!$I$6:$I$109)</x:f>
        <x:v>0.19169693622329992</x:v>
      </x:c>
      <x:c r="I18" s="53" t="n">
        <x:f>STEYX('Rendements'!$F$6:$F$109,'Rendements'!$I$6:$I$109)/SQRT(DEVSQ('Rendements'!$I$6:$I$109))</x:f>
        <x:v>0.21337950251591695</x:v>
      </x:c>
      <x:c r="J18" s="56" t="n">
        <x:f>E18/I18</x:f>
        <x:v>4.9183627806734425</x:v>
      </x:c>
      <x:c r="K18" s="61" t="n">
        <x:v>0.0000033529253577002367</x:v>
      </x:c>
      <x:c r="L18" s="53" t="n">
        <x:v>0.6262405749658004</x:v>
      </x:c>
      <x:c r="M18" s="53" t="n">
        <x:v>1.4727150317000017</x:v>
      </x:c>
      <x:c r="N18" t="str">
        <x:v>Significatif</x:v>
      </x:c>
    </x:row>
    <x:row r="19">
      <x:c r="A19" t="str">
        <x:v>Workiva</x:v>
      </x:c>
      <x:c r="B19" t="str">
        <x:v>WK</x:v>
      </x:c>
      <x:c r="C19" t="str">
        <x:v>Nasdaq Composite</x:v>
      </x:c>
      <x:c r="D19" s="50" t="n">
        <x:f>COUNT('Rendements'!$G$6:$G$109)</x:f>
        <x:v>104</x:v>
      </x:c>
      <x:c r="E19" s="53" t="n">
        <x:f>SLOPE('Rendements'!$G$6:$G$109,'Rendements'!$I$6:$I$109)</x:f>
        <x:v>0.5112749376611693</x:v>
      </x:c>
      <x:c r="F19" s="49" t="n">
        <x:f>INTERCEPT('Rendements'!$G$6:$G$109,'Rendements'!$I$6:$I$109)</x:f>
        <x:v>-0.0051570123511116995</x:v>
      </x:c>
      <x:c r="G19" s="49" t="n">
        <x:f>EXP(F19*52)-1</x:f>
        <x:v>-0.23521814467459534</x:v>
      </x:c>
      <x:c r="H19" s="49" t="n">
        <x:f>RSQ('Rendements'!$G$6:$G$109,'Rendements'!$I$6:$I$109)</x:f>
        <x:v>0.062016708239387645</x:v>
      </x:c>
      <x:c r="I19" s="53" t="n">
        <x:f>STEYX('Rendements'!$G$6:$G$109,'Rendements'!$I$6:$I$109)/SQRT(DEVSQ('Rendements'!$I$6:$I$109))</x:f>
        <x:v>0.19687819287447908</x:v>
      </x:c>
      <x:c r="J19" s="56" t="n">
        <x:f>E19/I19</x:f>
        <x:v>2.5969099482091234</x:v>
      </x:c>
      <x:c r="K19" s="61" t="n">
        <x:v>0.01079595540877131</x:v>
      </x:c>
      <x:c r="L19" s="53" t="n">
        <x:v>0.12076797848451515</x:v>
      </x:c>
      <x:c r="M19" s="53" t="n">
        <x:v>0.9017818968378234</x:v>
      </x:c>
      <x:c r="N19" t="str">
        <x:v>Significatif</x:v>
      </x:c>
    </x:row>
    <x:row r="22" ht="40" customHeight="1">
      <x:c r="A22" s="67" t="str">
        <x:v>Lecture Sidetrade : le bêta propre est très faible et non significatif ; son intervalle de confiance est large. Il n’est donc pas utilisé comme bêta WACC central.</x:v>
      </x:c>
      <x:c r="B22" s="68"/>
      <x:c r="C22" s="68"/>
      <x:c r="D22" s="68"/>
      <x:c r="E22" s="68"/>
      <x:c r="F22" s="68"/>
      <x:c r="G22" s="68"/>
      <x:c r="H22" s="68"/>
      <x:c r="I22" s="68"/>
      <x:c r="J22" s="68"/>
      <x:c r="K22" s="68"/>
      <x:c r="L22" s="68"/>
      <x:c r="M22" s="68"/>
      <x:c r="N22" s="69"/>
    </x:row>
  </x:sheetData>
  <x:mergeCells>
    <x:mergeCell ref="A1:N1"/>
    <x:mergeCell ref="A2:N2"/>
    <x:mergeCell ref="A4:N4"/>
    <x:mergeCell ref="A13:N13"/>
    <x:mergeCell ref="A22:N2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3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46" hidden="0" customWidth="1"/>
  </x:cols>
  <x:sheetData>
    <x:row r="1" ht="28" customHeight="1">
      <x:c r="A1" s="192" t="str">
        <x:v>BÊTAS DÉSENDETTÉS / RÉENDETTÉS — STRUCTURE CIBLE SIDETRADE</x:v>
      </x:c>
      <x:c r="B1" s="192" t="str">
        <x:v>BÊTAS DÉSENDETTÉS / RÉENDETTÉS — STRUCTURE CIBLE SIDETRADE</x:v>
      </x:c>
      <x:c r="C1" s="192" t="str">
        <x:v>BÊTAS DÉSENDETTÉS / RÉENDETTÉS — STRUCTURE CIBLE SIDETRADE</x:v>
      </x:c>
      <x:c r="D1" s="192" t="str">
        <x:v>BÊTAS DÉSENDETTÉS / RÉENDETTÉS — STRUCTURE CIBLE SIDETRADE</x:v>
      </x:c>
      <x:c r="E1" s="192" t="str">
        <x:v>BÊTAS DÉSENDETTÉS / RÉENDETTÉS — STRUCTURE CIBLE SIDETRADE</x:v>
      </x:c>
      <x:c r="F1" s="192" t="str">
        <x:v>BÊTAS DÉSENDETTÉS / RÉENDETTÉS — STRUCTURE CIBLE SIDETRADE</x:v>
      </x:c>
      <x:c r="G1" s="192" t="str">
        <x:v>BÊTAS DÉSENDETTÉS / RÉENDETTÉS — STRUCTURE CIBLE SIDETRADE</x:v>
      </x:c>
      <x:c r="H1" s="192" t="str">
        <x:v>BÊTAS DÉSENDETTÉS / RÉENDETTÉS — STRUCTURE CIBLE SIDETRADE</x:v>
      </x:c>
      <x:c r="I1" s="192" t="str">
        <x:v>BÊTAS DÉSENDETTÉS / RÉENDETTÉS — STRUCTURE CIBLE SIDETRADE</x:v>
      </x:c>
      <x:c r="J1" s="192" t="str">
        <x:v>BÊTAS DÉSENDETTÉS / RÉENDETTÉS — STRUCTURE CIBLE SIDETRADE</x:v>
      </x:c>
      <x:c r="K1" s="192" t="str">
        <x:v>BÊTAS DÉSENDETTÉS / RÉENDETTÉS — STRUCTURE CIBLE SIDETRADE</x:v>
      </x:c>
      <x:c r="L1" s="192" t="str">
        <x:v>BÊTAS DÉSENDETTÉS / RÉENDETTÉS — STRUCTURE CIBLE SIDETRADE</x:v>
      </x:c>
      <x:c r="M1" s="192" t="str">
        <x:v>BÊTAS DÉSENDETTÉS / RÉENDETTÉS — STRUCTURE CIBLE SIDETRADE</x:v>
      </x:c>
    </x:row>
    <x:row r="2">
      <x:c r="A2" s="44" t="str">
        <x:v>Cellules bleues = hypothèses sourcées / modifiables. Cellules vertes = liens vers les régressions. Calculs en noir.</x:v>
      </x:c>
      <x:c r="B2" s="44"/>
      <x:c r="C2" s="44"/>
      <x:c r="D2" s="44"/>
      <x:c r="E2" s="44"/>
      <x:c r="F2" s="44"/>
      <x:c r="G2" s="44"/>
      <x:c r="H2" s="44"/>
      <x:c r="I2" s="44"/>
      <x:c r="J2" s="44"/>
      <x:c r="K2" s="44"/>
      <x:c r="L2" s="44"/>
      <x:c r="M2" s="44"/>
    </x:row>
    <x:row r="4" ht="22" customHeight="1">
      <x:c r="A4" s="192" t="str">
        <x:v>COMPARABLES COTÉS</x:v>
      </x:c>
      <x:c r="B4" s="192" t="str">
        <x:v>COMPARABLES COTÉS</x:v>
      </x:c>
      <x:c r="C4" s="192" t="str">
        <x:v>COMPARABLES COTÉS</x:v>
      </x:c>
      <x:c r="D4" s="192" t="str">
        <x:v>COMPARABLES COTÉS</x:v>
      </x:c>
      <x:c r="E4" s="192" t="str">
        <x:v>COMPARABLES COTÉS</x:v>
      </x:c>
      <x:c r="F4" s="192" t="str">
        <x:v>COMPARABLES COTÉS</x:v>
      </x:c>
      <x:c r="G4" s="192" t="str">
        <x:v>COMPARABLES COTÉS</x:v>
      </x:c>
      <x:c r="H4" s="192" t="str">
        <x:v>COMPARABLES COTÉS</x:v>
      </x:c>
      <x:c r="I4" s="192" t="str">
        <x:v>COMPARABLES COTÉS</x:v>
      </x:c>
      <x:c r="J4" s="192" t="str">
        <x:v>COMPARABLES COTÉS</x:v>
      </x:c>
      <x:c r="K4" s="192" t="str">
        <x:v>COMPARABLES COTÉS</x:v>
      </x:c>
      <x:c r="L4" s="192" t="str">
        <x:v>COMPARABLES COTÉS</x:v>
      </x:c>
      <x:c r="M4" s="192" t="str">
        <x:v>COMPARABLES COTÉS</x:v>
      </x:c>
    </x:row>
    <x:row r="5" ht="28" customHeight="1">
      <x:c r="A5" s="15" t="str">
        <x:v>Société</x:v>
      </x:c>
      <x:c r="B5" s="16" t="str">
        <x:v>Ticker</x:v>
      </x:c>
      <x:c r="C5" s="16" t="str">
        <x:v>Cours 15/07/26</x:v>
      </x:c>
      <x:c r="D5" s="16" t="str">
        <x:v>Actions</x:v>
      </x:c>
      <x:c r="E5" s="16" t="str">
        <x:v>Capitalisation</x:v>
      </x:c>
      <x:c r="F5" s="16" t="str">
        <x:v>Dette brute</x:v>
      </x:c>
      <x:c r="G5" s="16" t="str">
        <x:v>D/E</x:v>
      </x:c>
      <x:c r="H5" s="16" t="str">
        <x:v>IS norm.</x:v>
      </x:c>
      <x:c r="I5" s="16" t="str">
        <x:v>Bêta L principal</x:v>
      </x:c>
      <x:c r="J5" s="16" t="str">
        <x:v>Bêta U principal</x:v>
      </x:c>
      <x:c r="K5" s="16" t="str">
        <x:v>Bêta L sensi.</x:v>
      </x:c>
      <x:c r="L5" s="16" t="str">
        <x:v>Bêta U sensi.</x:v>
      </x:c>
      <x:c r="M5" s="17" t="str">
        <x:v>Source / note</x:v>
      </x:c>
    </x:row>
    <x:row r="6">
      <x:c r="A6" t="str">
        <x:v>BlackLine</x:v>
      </x:c>
      <x:c r="B6" t="str">
        <x:v>BL</x:v>
      </x:c>
      <x:c r="C6" s="76" t="n">
        <x:v>29.450000762939453</x:v>
      </x:c>
      <x:c r="D6" s="77" t="n">
        <x:v>58660917</x:v>
      </x:c>
      <x:c r="E6" s="78" t="n">
        <x:f>C6*D6</x:f>
        <x:v>1727564050.404728</x:v>
      </x:c>
      <x:c r="F6" s="79" t="n">
        <x:v>666728000</x:v>
      </x:c>
      <x:c r="G6" s="80" t="n">
        <x:f>F6/E6</x:f>
        <x:v>0.38593532890650345</x:v>
      </x:c>
      <x:c r="H6" s="81" t="n">
        <x:v>0.25</x:v>
      </x:c>
      <x:c r="I6" s="82" t="n">
        <x:f>'Regressions'!E7</x:f>
        <x:v>0.71971998600094</x:v>
      </x:c>
      <x:c r="J6" s="53" t="n">
        <x:f>I6/(1+(1-H6)*G6)</x:f>
        <x:v>0.558159797289079</x:v>
      </x:c>
      <x:c r="K6" s="82" t="n">
        <x:f>'Regressions'!E16</x:f>
        <x:v>0.4857181907185332</x:v>
      </x:c>
      <x:c r="L6" s="53" t="n">
        <x:f>K6/(1+(1-H6)*G6)</x:f>
        <x:v>0.37668589471506025</x:v>
      </x:c>
      <x:c r="M6" s="83" t="str">
        <x:v>Convertible debt + finance leases | SEC 0001628280-26-032255</x:v>
      </x:c>
    </x:row>
    <x:row r="7">
      <x:c r="A7" t="str">
        <x:v>BILL</x:v>
      </x:c>
      <x:c r="B7" t="str">
        <x:v>BILL</x:v>
      </x:c>
      <x:c r="C7" s="76" t="n">
        <x:v>44.68000030517578</x:v>
      </x:c>
      <x:c r="D7" s="77" t="n">
        <x:v>99596727</x:v>
      </x:c>
      <x:c r="E7" s="78" t="n">
        <x:f>C7*D7</x:f>
        <x:v>4449981792.754509</x:v>
      </x:c>
      <x:c r="F7" s="79" t="n">
        <x:v>1834854000</x:v>
      </x:c>
      <x:c r="G7" s="80" t="n">
        <x:f>F7/E7</x:f>
        <x:v>0.41232842862133096</x:v>
      </x:c>
      <x:c r="H7" s="81" t="n">
        <x:v>0.25</x:v>
      </x:c>
      <x:c r="I7" s="82" t="n">
        <x:f>'Regressions'!E8</x:f>
        <x:v>1.527124471493801</x:v>
      </x:c>
      <x:c r="J7" s="53" t="n">
        <x:f>I7/(1+(1-H7)*G7)</x:f>
        <x:v>1.1664149415244023</x:v>
      </x:c>
      <x:c r="K7" s="82" t="n">
        <x:f>'Regressions'!E17</x:f>
        <x:v>1.0028829189141422</x:v>
      </x:c>
      <x:c r="L7" s="53" t="n">
        <x:f>K7/(1+(1-H7)*G7)</x:f>
        <x:v>0.76600018076903</x:v>
      </x:c>
      <x:c r="M7" s="83" t="str">
        <x:v>Long-term debt carrying amount (includes convertible debt) | SEC 0001628280-26-032387</x:v>
      </x:c>
    </x:row>
    <x:row r="8">
      <x:c r="A8" t="str">
        <x:v>nCino</x:v>
      </x:c>
      <x:c r="B8" t="str">
        <x:v>NCNO</x:v>
      </x:c>
      <x:c r="C8" s="76" t="n">
        <x:v>17.790000915527344</x:v>
      </x:c>
      <x:c r="D8" s="77" t="n">
        <x:v>109552950</x:v>
      </x:c>
      <x:c r="E8" s="78" t="n">
        <x:f>C8*D8</x:f>
        <x:v>1948947080.7987213</x:v>
      </x:c>
      <x:c r="F8" s="79" t="n">
        <x:v>313707000</x:v>
      </x:c>
      <x:c r="G8" s="80" t="n">
        <x:f>F8/E8</x:f>
        <x:v>0.16096229758656966</x:v>
      </x:c>
      <x:c r="H8" s="81" t="n">
        <x:v>0.25</x:v>
      </x:c>
      <x:c r="I8" s="82" t="n">
        <x:f>'Regressions'!E9</x:f>
        <x:v>1.5500010875974932</x:v>
      </x:c>
      <x:c r="J8" s="53" t="n">
        <x:f>I8/(1+(1-H8)*G8)</x:f>
        <x:v>1.383038318545037</x:v>
      </x:c>
      <x:c r="K8" s="82" t="n">
        <x:f>'Regressions'!E18</x:f>
        <x:v>1.049477803332901</x:v>
      </x:c>
      <x:c r="L8" s="53" t="n">
        <x:f>K8/(1+(1-H8)*G8)</x:f>
        <x:v>0.9364303212984545</x:v>
      </x:c>
      <x:c r="M8" s="83" t="str">
        <x:v>Long-term debt + finance leases | SEC 0001902733-26-000066</x:v>
      </x:c>
    </x:row>
    <x:row r="9">
      <x:c r="A9" t="str">
        <x:v>Workiva</x:v>
      </x:c>
      <x:c r="B9" t="str">
        <x:v>WK</x:v>
      </x:c>
      <x:c r="C9" s="76" t="n">
        <x:v>54.33000183105469</x:v>
      </x:c>
      <x:c r="D9" s="77" t="n">
        <x:v>56885568</x:v>
      </x:c>
      <x:c r="E9" s="78" t="n">
        <x:f>C9*D9</x:f>
        <x:v>3090593013.600586</x:v>
      </x:c>
      <x:c r="F9" s="79" t="n">
        <x:v>781634000</x:v>
      </x:c>
      <x:c r="G9" s="80" t="n">
        <x:f>F9/E9</x:f>
        <x:v>0.2529074506285074</x:v>
      </x:c>
      <x:c r="H9" s="81" t="n">
        <x:v>0.25</x:v>
      </x:c>
      <x:c r="I9" s="82" t="n">
        <x:f>'Regressions'!E10</x:f>
        <x:v>0.7365002591919166</x:v>
      </x:c>
      <x:c r="J9" s="53" t="n">
        <x:f>I9/(1+(1-H9)*G9)</x:f>
        <x:v>0.619073948619925</x:v>
      </x:c>
      <x:c r="K9" s="82" t="n">
        <x:f>'Regressions'!E19</x:f>
        <x:v>0.5112749376611693</x:v>
      </x:c>
      <x:c r="L9" s="53" t="n">
        <x:f>K9/(1+(1-H9)*G9)</x:f>
        <x:v>0.42975815763539105</x:v>
      </x:c>
      <x:c r="M9" s="83" t="str">
        <x:v>Convertible debt + finance leases; shares = Q1 basic weighted average | SEC 0001445305-26-000045</x:v>
      </x:c>
    </x:row>
    <x:row r="12" ht="22" customHeight="1">
      <x:c r="A12" s="192" t="str">
        <x:v>MÉDIANE DES PEERS ET RÉENDETTEMENT SIDETRADE</x:v>
      </x:c>
      <x:c r="B12" s="192" t="str">
        <x:v>MÉDIANE DES PEERS ET RÉENDETTEMENT SIDETRADE</x:v>
      </x:c>
      <x:c r="C12" s="192" t="str">
        <x:v>MÉDIANE DES PEERS ET RÉENDETTEMENT SIDETRADE</x:v>
      </x:c>
      <x:c r="D12" s="192" t="str">
        <x:v>MÉDIANE DES PEERS ET RÉENDETTEMENT SIDETRADE</x:v>
      </x:c>
      <x:c r="E12" s="192" t="str">
        <x:v>MÉDIANE DES PEERS ET RÉENDETTEMENT SIDETRADE</x:v>
      </x:c>
      <x:c r="F12" s="192" t="str">
        <x:v>MÉDIANE DES PEERS ET RÉENDETTEMENT SIDETRADE</x:v>
      </x:c>
      <x:c r="G12" s="192" t="str">
        <x:v>MÉDIANE DES PEERS ET RÉENDETTEMENT SIDETRADE</x:v>
      </x:c>
      <x:c r="H12" s="192" t="str">
        <x:v>MÉDIANE DES PEERS ET RÉENDETTEMENT SIDETRADE</x:v>
      </x:c>
      <x:c r="I12" s="192" t="str">
        <x:v>MÉDIANE DES PEERS ET RÉENDETTEMENT SIDETRADE</x:v>
      </x:c>
      <x:c r="J12" s="192" t="str">
        <x:v>MÉDIANE DES PEERS ET RÉENDETTEMENT SIDETRADE</x:v>
      </x:c>
      <x:c r="K12" s="192" t="str">
        <x:v>MÉDIANE DES PEERS ET RÉENDETTEMENT SIDETRADE</x:v>
      </x:c>
      <x:c r="L12" s="192" t="str">
        <x:v>MÉDIANE DES PEERS ET RÉENDETTEMENT SIDETRADE</x:v>
      </x:c>
      <x:c r="M12" s="192" t="str">
        <x:v>MÉDIANE DES PEERS ET RÉENDETTEMENT SIDETRADE</x:v>
      </x:c>
    </x:row>
    <x:row r="13">
      <x:c r="A13" t="str">
        <x:v>Médiane bêta U — indice principal</x:v>
      </x:c>
      <x:c r="B13" s="53" t="n">
        <x:f>MEDIAN(J6:J9)</x:f>
        <x:v>0.8927444450721637</x:v>
      </x:c>
      <x:c r="C13" t="str">
        <x:v>S&amp;P 500</x:v>
      </x:c>
    </x:row>
    <x:row r="14">
      <x:c r="A14" t="str">
        <x:v>Médiane bêta U — sensibilité Nasdaq</x:v>
      </x:c>
      <x:c r="B14" s="53" t="n">
        <x:f>MEDIAN(L6:L9)</x:f>
        <x:v>0.5978791692022105</x:v>
      </x:c>
      <x:c r="C14" t="str">
        <x:v>Nasdaq Composite</x:v>
      </x:c>
    </x:row>
    <x:row r="15">
      <x:c r="A15" t="str">
        <x:v>Poids cible dette D/(D+E)</x:v>
      </x:c>
      <x:c r="B15" s="81" t="n">
        <x:v>0.2</x:v>
      </x:c>
      <x:c r="C15" t="str">
        <x:v>Modèle WACC existant</x:v>
      </x:c>
    </x:row>
    <x:row r="16">
      <x:c r="A16" t="str">
        <x:v>D/E cible</x:v>
      </x:c>
      <x:c r="B16" s="80" t="n">
        <x:f>B15/(1-B15)</x:f>
        <x:v>0.25</x:v>
      </x:c>
      <x:c r="C16" t="str">
        <x:v>Formule</x:v>
      </x:c>
    </x:row>
    <x:row r="17">
      <x:c r="A17" t="str">
        <x:v>IS cible France</x:v>
      </x:c>
      <x:c r="B17" s="81" t="n">
        <x:v>0.2583</x:v>
      </x:c>
      <x:c r="C17" t="str">
        <x:v>France</x:v>
      </x:c>
    </x:row>
    <x:row r="18">
      <x:c r="A18" t="str">
        <x:v>Bêta relevered cible — principal</x:v>
      </x:c>
      <x:c r="B18" s="53" t="n">
        <x:f>B13*(1+(1-B17)*B16)</x:f>
        <x:v>1.0582815837996695</x:v>
      </x:c>
      <x:c r="C18" t="str">
        <x:v>Résultat central</x:v>
      </x:c>
    </x:row>
    <x:row r="19">
      <x:c r="A19" t="str">
        <x:v>Bêta relevered cible — sensibilité</x:v>
      </x:c>
      <x:c r="B19" s="53" t="n">
        <x:f>B14*(1+(1-B17)*B16)</x:f>
        <x:v>0.7087409141515304</x:v>
      </x:c>
      <x:c r="C19" t="str">
        <x:v>Sensibilité</x:v>
      </x:c>
    </x:row>
    <x:row r="20">
      <x:c r="A20" t="str">
        <x:v>Bêta actuellement retenu au modèle</x:v>
      </x:c>
      <x:c r="B20" s="84" t="n">
        <x:v>1.15</x:v>
      </x:c>
      <x:c r="C20" t="str">
        <x:v>Inputs!C48 du modèle existant</x:v>
      </x:c>
    </x:row>
    <x:row r="21">
      <x:c r="A21" t="str">
        <x:v>Prudence du modèle vs statistique</x:v>
      </x:c>
      <x:c r="B21" s="53" t="n">
        <x:f>B20-B18</x:f>
        <x:v>0.09171841620033039</x:v>
      </x:c>
      <x:c r="C21" t="str">
        <x:v>Écart positif = conservateur</x:v>
      </x:c>
    </x:row>
    <x:row r="22">
      <x:c r="A22" t="str">
        <x:v>ERP zone euro</x:v>
      </x:c>
      <x:c r="B22" s="85" t="n">
        <x:v>0.055</x:v>
      </x:c>
      <x:c r="C22" t="str">
        <x:v>Hypothèse existante</x:v>
      </x:c>
    </x:row>
    <x:row r="23">
      <x:c r="A23" t="str">
        <x:v>Impact CoE de la prudence bêta</x:v>
      </x:c>
      <x:c r="B23" s="49" t="n">
        <x:f>B21*B22</x:f>
        <x:v>0.005044512891018172</x:v>
      </x:c>
      <x:c r="C23" t="str">
        <x:v>Points de coût des fonds propres</x:v>
      </x:c>
    </x:row>
    <x:row r="25" ht="42" customHeight="1">
      <x:c r="A25" s="91" t="str">
        <x:f>"Conclusion : bêta statistique central = "&amp;TEXT(B18,"0.00x")&amp;" ; le bêta 1,15x du modèle est supérieur de "&amp;TEXT(B21,"0.00x")&amp;" et ajoute environ "&amp;TEXT(B23,"0.00%")&amp;" au coût des fonds propres."</x:f>
        <x:v>Conclusion : bêta statistique central = 1.06x ; le bêta 1,15x du modèle est supérieur de 0.09x et ajoute environ 0.50% au coût des fonds propres.</x:v>
      </x:c>
      <x:c r="B25" s="92"/>
      <x:c r="C25" s="92"/>
      <x:c r="D25" s="92"/>
      <x:c r="E25" s="92"/>
      <x:c r="F25" s="92"/>
      <x:c r="G25" s="92"/>
      <x:c r="H25" s="92"/>
      <x:c r="I25" s="92"/>
      <x:c r="J25" s="92"/>
      <x:c r="K25" s="92"/>
      <x:c r="L25" s="92"/>
      <x:c r="M25" s="93"/>
    </x:row>
  </x:sheetData>
  <x:mergeCells>
    <x:mergeCell ref="A1:M1"/>
    <x:mergeCell ref="A2:M2"/>
    <x:mergeCell ref="A4:M4"/>
    <x:mergeCell ref="A12:M12"/>
    <x:mergeCell ref="A25:M25"/>
  </x:mergeCells>
  <x:pageMargins left="0.7" right="0.7" top="0.75" bottom="0.75" header="0.3" footer="0.3"/>
  <x:legacyDrawing xmlns:r="http://schemas.openxmlformats.org/officeDocument/2006/relationships" r:id="Rbdce983b0e844105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4" hidden="0" customWidth="1"/>
    <x:col min="3" max="3" width="14" hidden="0" customWidth="1"/>
    <x:col min="4" max="4" width="17" hidden="0" customWidth="1"/>
    <x:col min="5" max="5" width="17" hidden="0" customWidth="1"/>
    <x:col min="6" max="6" width="17" hidden="0" customWidth="1"/>
    <x:col min="7" max="7" width="16" hidden="0" customWidth="1"/>
    <x:col min="8" max="8" width="16" hidden="0" customWidth="1"/>
    <x:col min="9" max="9" width="16" hidden="0" customWidth="1"/>
    <x:col min="10" max="10" width="12" hidden="0" customWidth="1"/>
  </x:cols>
  <x:sheetData>
    <x:row r="1" ht="28" customHeight="1">
      <x:c r="A1" s="192" t="str">
        <x:v>CONTRÔLES DE FIABILITÉ ET DE COMPLÉTUDE</x:v>
      </x:c>
      <x:c r="B1" s="192" t="str">
        <x:v>CONTRÔLES DE FIABILITÉ ET DE COMPLÉTUDE</x:v>
      </x:c>
      <x:c r="C1" s="192" t="str">
        <x:v>CONTRÔLES DE FIABILITÉ ET DE COMPLÉTUDE</x:v>
      </x:c>
      <x:c r="D1" s="192" t="str">
        <x:v>CONTRÔLES DE FIABILITÉ ET DE COMPLÉTUDE</x:v>
      </x:c>
      <x:c r="E1" s="192" t="str">
        <x:v>CONTRÔLES DE FIABILITÉ ET DE COMPLÉTUDE</x:v>
      </x:c>
      <x:c r="F1" s="192" t="str">
        <x:v>CONTRÔLES DE FIABILITÉ ET DE COMPLÉTUDE</x:v>
      </x:c>
      <x:c r="G1" s="192" t="str">
        <x:v>CONTRÔLES DE FIABILITÉ ET DE COMPLÉTUDE</x:v>
      </x:c>
      <x:c r="H1" s="192" t="str">
        <x:v>CONTRÔLES DE FIABILITÉ ET DE COMPLÉTUDE</x:v>
      </x:c>
      <x:c r="I1" s="192" t="str">
        <x:v>CONTRÔLES DE FIABILITÉ ET DE COMPLÉTUDE</x:v>
      </x:c>
      <x:c r="J1" s="192" t="str">
        <x:v>CONTRÔLES DE FIABILITÉ ET DE COMPLÉTUDE</x:v>
      </x:c>
    </x:row>
    <x:row r="3" ht="22" customHeight="1">
      <x:c r="A3" s="192" t="str">
        <x:v>SYNTHÈSE DES CONTRÔLES</x:v>
      </x:c>
      <x:c r="B3" s="192" t="str">
        <x:v>SYNTHÈSE DES CONTRÔLES</x:v>
      </x:c>
      <x:c r="C3" s="192" t="str">
        <x:v>SYNTHÈSE DES CONTRÔLES</x:v>
      </x:c>
      <x:c r="D3" s="192" t="str">
        <x:v>SYNTHÈSE DES CONTRÔLES</x:v>
      </x:c>
      <x:c r="E3" s="192" t="str">
        <x:v>SYNTHÈSE DES CONTRÔLES</x:v>
      </x:c>
      <x:c r="F3" s="192" t="str">
        <x:v>SYNTHÈSE DES CONTRÔLES</x:v>
      </x:c>
      <x:c r="G3" s="192" t="str">
        <x:v>SYNTHÈSE DES CONTRÔLES</x:v>
      </x:c>
      <x:c r="H3" s="192" t="str">
        <x:v>SYNTHÈSE DES CONTRÔLES</x:v>
      </x:c>
      <x:c r="I3" s="192" t="str">
        <x:v>SYNTHÈSE DES CONTRÔLES</x:v>
      </x:c>
      <x:c r="J3" s="192" t="str">
        <x:v>SYNTHÈSE DES CONTRÔLES</x:v>
      </x:c>
    </x:row>
    <x:row r="4" ht="28" customHeight="1">
      <x:c r="A4" s="15" t="str">
        <x:v>Contrôle</x:v>
      </x:c>
      <x:c r="B4" s="16" t="str">
        <x:v>Réalisé</x:v>
      </x:c>
      <x:c r="C4" s="16" t="str">
        <x:v>Attendu</x:v>
      </x:c>
      <x:c r="D4" s="17" t="str">
        <x:v>Statut</x:v>
      </x:c>
    </x:row>
    <x:row r="5">
      <x:c r="A5" t="str">
        <x:v>Prix hebdomadaires</x:v>
      </x:c>
      <x:c r="B5" t="n">
        <x:v>105</x:v>
      </x:c>
      <x:c r="C5" t="n">
        <x:v>105</x:v>
      </x:c>
      <x:c r="D5" t="str">
        <x:f>IF(B5=C5,"PASS","FAIL")</x:f>
        <x:v>PASS</x:v>
      </x:c>
    </x:row>
    <x:row r="6">
      <x:c r="A6" t="str">
        <x:v>Rendements hebdomadaires</x:v>
      </x:c>
      <x:c r="B6" t="n">
        <x:v>104</x:v>
      </x:c>
      <x:c r="C6" t="n">
        <x:v>104</x:v>
      </x:c>
      <x:c r="D6" t="str">
        <x:f>IF(B6=C6,"PASS","FAIL")</x:f>
        <x:v>PASS</x:v>
      </x:c>
    </x:row>
    <x:row r="7">
      <x:c r="A7" t="str">
        <x:v>Prix hebdomadaires manquants</x:v>
      </x:c>
      <x:c r="B7" t="n">
        <x:v>0</x:v>
      </x:c>
      <x:c r="C7" t="n">
        <x:v>0</x:v>
      </x:c>
      <x:c r="D7" t="str">
        <x:f>IF(B7=C7,"PASS","FAIL")</x:f>
        <x:v>PASS</x:v>
      </x:c>
    </x:row>
    <x:row r="8">
      <x:c r="A8" t="str">
        <x:v>Comparaisons officielles</x:v>
      </x:c>
      <x:c r="B8" t="n">
        <x:v>46</x:v>
      </x:c>
      <x:c r="C8" t="n">
        <x:v>46</x:v>
      </x:c>
      <x:c r="D8" t="str">
        <x:f>IF(B8=C8,"PASS","FAIL")</x:f>
        <x:v>PASS</x:v>
      </x:c>
    </x:row>
    <x:row r="10" ht="28" customHeight="1">
      <x:c r="A10" s="15" t="str">
        <x:v>Source officielle</x:v>
      </x:c>
      <x:c r="B10" s="16" t="str">
        <x:v>Ticker</x:v>
      </x:c>
      <x:c r="C10" s="16" t="str">
        <x:v>Date</x:v>
      </x:c>
      <x:c r="D10" s="16" t="str">
        <x:v>Clôture officielle</x:v>
      </x:c>
      <x:c r="E10" s="16" t="str">
        <x:v>Clôture Yahoo</x:v>
      </x:c>
      <x:c r="F10" s="16" t="str">
        <x:v>Écart clôture</x:v>
      </x:c>
      <x:c r="G10" s="16" t="str">
        <x:v>Volume officiel</x:v>
      </x:c>
      <x:c r="H10" s="16" t="str">
        <x:v>Volume Yahoo</x:v>
      </x:c>
      <x:c r="I10" s="16" t="str">
        <x:v>Écart volume</x:v>
      </x:c>
      <x:c r="J10" s="17" t="str">
        <x:v>Statut</x:v>
      </x:c>
    </x:row>
    <x:row r="11">
      <x:c r="A11" t="str">
        <x:v>Euronext</x:v>
      </x:c>
      <x:c r="B11" t="str">
        <x:v>ALBFR.PA</x:v>
      </x:c>
      <x:c r="C11" s="18" t="n">
        <x:v>46218</x:v>
      </x:c>
      <x:c r="D11" s="94" t="n">
        <x:v>176.4</x:v>
      </x:c>
      <x:c r="E11" s="94" t="n">
        <x:v>176.39999389648438</x:v>
      </x:c>
      <x:c r="F11" s="94" t="n">
        <x:f>E11-D11</x:f>
        <x:v>-0.000006103515630684342</x:v>
      </x:c>
      <x:c r="G11" s="50" t="n">
        <x:v>1130</x:v>
      </x:c>
      <x:c r="H11" s="50" t="n">
        <x:v>1130</x:v>
      </x:c>
      <x:c r="I11" s="50" t="n">
        <x:f>H11-G11</x:f>
        <x:v>0</x:v>
      </x:c>
      <x:c r="J11" t="str">
        <x:f>IF(AND(ABS(F11)&lt;0.011,ABS(I11)&lt;=MAX(100,G11*0.001)),"PASS","FAIL")</x:f>
        <x:v>PASS</x:v>
      </x:c>
    </x:row>
    <x:row r="12">
      <x:c r="A12" t="str">
        <x:v>Euronext</x:v>
      </x:c>
      <x:c r="B12" t="str">
        <x:v>ALBFR.PA</x:v>
      </x:c>
      <x:c r="C12" s="18" t="n">
        <x:v>46217</x:v>
      </x:c>
      <x:c r="D12" s="94" t="n">
        <x:v>174.6</x:v>
      </x:c>
      <x:c r="E12" s="94" t="n">
        <x:v>174.60000610351562</x:v>
      </x:c>
      <x:c r="F12" s="94" t="n">
        <x:f>E12-D12</x:f>
        <x:v>0.000006103515630684342</x:v>
      </x:c>
      <x:c r="G12" s="50" t="n">
        <x:v>1148</x:v>
      </x:c>
      <x:c r="H12" s="50" t="n">
        <x:v>1148</x:v>
      </x:c>
      <x:c r="I12" s="50" t="n">
        <x:f>H12-G12</x:f>
        <x:v>0</x:v>
      </x:c>
      <x:c r="J12" t="str">
        <x:f>IF(AND(ABS(F12)&lt;0.011,ABS(I12)&lt;=MAX(100,G12*0.001)),"PASS","FAIL")</x:f>
        <x:v>PASS</x:v>
      </x:c>
    </x:row>
    <x:row r="13">
      <x:c r="A13" t="str">
        <x:v>Euronext</x:v>
      </x:c>
      <x:c r="B13" t="str">
        <x:v>ALBFR.PA</x:v>
      </x:c>
      <x:c r="C13" s="18" t="n">
        <x:v>46216</x:v>
      </x:c>
      <x:c r="D13" s="94" t="n">
        <x:v>173.4</x:v>
      </x:c>
      <x:c r="E13" s="94" t="n">
        <x:v>173.39999389648438</x:v>
      </x:c>
      <x:c r="F13" s="94" t="n">
        <x:f>E13-D13</x:f>
        <x:v>-0.000006103515630684342</x:v>
      </x:c>
      <x:c r="G13" s="50" t="n">
        <x:v>546</x:v>
      </x:c>
      <x:c r="H13" s="50" t="n">
        <x:v>546</x:v>
      </x:c>
      <x:c r="I13" s="50" t="n">
        <x:f>H13-G13</x:f>
        <x:v>0</x:v>
      </x:c>
      <x:c r="J13" t="str">
        <x:f>IF(AND(ABS(F13)&lt;0.011,ABS(I13)&lt;=MAX(100,G13*0.001)),"PASS","FAIL")</x:f>
        <x:v>PASS</x:v>
      </x:c>
    </x:row>
    <x:row r="14">
      <x:c r="A14" t="str">
        <x:v>Euronext</x:v>
      </x:c>
      <x:c r="B14" t="str">
        <x:v>ALBFR.PA</x:v>
      </x:c>
      <x:c r="C14" s="18" t="n">
        <x:v>46213</x:v>
      </x:c>
      <x:c r="D14" s="94" t="n">
        <x:v>175.2</x:v>
      </x:c>
      <x:c r="E14" s="94" t="n">
        <x:v>175.1999969482422</x:v>
      </x:c>
      <x:c r="F14" s="94" t="n">
        <x:f>E14-D14</x:f>
        <x:v>-0.0000030517578011313162</x:v>
      </x:c>
      <x:c r="G14" s="50" t="n">
        <x:v>607</x:v>
      </x:c>
      <x:c r="H14" s="50" t="n">
        <x:v>607</x:v>
      </x:c>
      <x:c r="I14" s="50" t="n">
        <x:f>H14-G14</x:f>
        <x:v>0</x:v>
      </x:c>
      <x:c r="J14" t="str">
        <x:f>IF(AND(ABS(F14)&lt;0.011,ABS(I14)&lt;=MAX(100,G14*0.001)),"PASS","FAIL")</x:f>
        <x:v>PASS</x:v>
      </x:c>
    </x:row>
    <x:row r="15">
      <x:c r="A15" t="str">
        <x:v>Euronext</x:v>
      </x:c>
      <x:c r="B15" t="str">
        <x:v>ALBFR.PA</x:v>
      </x:c>
      <x:c r="C15" s="18" t="n">
        <x:v>46212</x:v>
      </x:c>
      <x:c r="D15" s="94" t="n">
        <x:v>176</x:v>
      </x:c>
      <x:c r="E15" s="94" t="n">
        <x:v>176</x:v>
      </x:c>
      <x:c r="F15" s="94" t="n">
        <x:f>E15-D15</x:f>
        <x:v>0</x:v>
      </x:c>
      <x:c r="G15" s="50" t="n">
        <x:v>1505</x:v>
      </x:c>
      <x:c r="H15" s="50" t="n">
        <x:v>1505</x:v>
      </x:c>
      <x:c r="I15" s="50" t="n">
        <x:f>H15-G15</x:f>
        <x:v>0</x:v>
      </x:c>
      <x:c r="J15" t="str">
        <x:f>IF(AND(ABS(F15)&lt;0.011,ABS(I15)&lt;=MAX(100,G15*0.001)),"PASS","FAIL")</x:f>
        <x:v>PASS</x:v>
      </x:c>
    </x:row>
    <x:row r="16">
      <x:c r="A16" t="str">
        <x:v>Euronext</x:v>
      </x:c>
      <x:c r="B16" t="str">
        <x:v>ALBFR.PA</x:v>
      </x:c>
      <x:c r="C16" s="18" t="n">
        <x:v>46211</x:v>
      </x:c>
      <x:c r="D16" s="94" t="n">
        <x:v>177.2</x:v>
      </x:c>
      <x:c r="E16" s="94" t="n">
        <x:v>177.1999969482422</x:v>
      </x:c>
      <x:c r="F16" s="94" t="n">
        <x:f>E16-D16</x:f>
        <x:v>-0.0000030517578011313162</x:v>
      </x:c>
      <x:c r="G16" s="50" t="n">
        <x:v>1194</x:v>
      </x:c>
      <x:c r="H16" s="50" t="n">
        <x:v>1194</x:v>
      </x:c>
      <x:c r="I16" s="50" t="n">
        <x:f>H16-G16</x:f>
        <x:v>0</x:v>
      </x:c>
      <x:c r="J16" t="str">
        <x:f>IF(AND(ABS(F16)&lt;0.011,ABS(I16)&lt;=MAX(100,G16*0.001)),"PASS","FAIL")</x:f>
        <x:v>PASS</x:v>
      </x:c>
    </x:row>
    <x:row r="17">
      <x:c r="A17" t="str">
        <x:v>Euronext</x:v>
      </x:c>
      <x:c r="B17" t="str">
        <x:v>ALBFR.PA</x:v>
      </x:c>
      <x:c r="C17" s="18" t="n">
        <x:v>46210</x:v>
      </x:c>
      <x:c r="D17" s="94" t="n">
        <x:v>171</x:v>
      </x:c>
      <x:c r="E17" s="94" t="n">
        <x:v>171</x:v>
      </x:c>
      <x:c r="F17" s="94" t="n">
        <x:f>E17-D17</x:f>
        <x:v>0</x:v>
      </x:c>
      <x:c r="G17" s="50" t="n">
        <x:v>1027</x:v>
      </x:c>
      <x:c r="H17" s="50" t="n">
        <x:v>1027</x:v>
      </x:c>
      <x:c r="I17" s="50" t="n">
        <x:f>H17-G17</x:f>
        <x:v>0</x:v>
      </x:c>
      <x:c r="J17" t="str">
        <x:f>IF(AND(ABS(F17)&lt;0.011,ABS(I17)&lt;=MAX(100,G17*0.001)),"PASS","FAIL")</x:f>
        <x:v>PASS</x:v>
      </x:c>
    </x:row>
    <x:row r="18">
      <x:c r="A18" t="str">
        <x:v>Euronext</x:v>
      </x:c>
      <x:c r="B18" t="str">
        <x:v>ALBFR.PA</x:v>
      </x:c>
      <x:c r="C18" s="18" t="n">
        <x:v>46209</x:v>
      </x:c>
      <x:c r="D18" s="94" t="n">
        <x:v>177</x:v>
      </x:c>
      <x:c r="E18" s="94" t="n">
        <x:v>177</x:v>
      </x:c>
      <x:c r="F18" s="94" t="n">
        <x:f>E18-D18</x:f>
        <x:v>0</x:v>
      </x:c>
      <x:c r="G18" s="50" t="n">
        <x:v>1267</x:v>
      </x:c>
      <x:c r="H18" s="50" t="n">
        <x:v>1267</x:v>
      </x:c>
      <x:c r="I18" s="50" t="n">
        <x:f>H18-G18</x:f>
        <x:v>0</x:v>
      </x:c>
      <x:c r="J18" t="str">
        <x:f>IF(AND(ABS(F18)&lt;0.011,ABS(I18)&lt;=MAX(100,G18*0.001)),"PASS","FAIL")</x:f>
        <x:v>PASS</x:v>
      </x:c>
    </x:row>
    <x:row r="19">
      <x:c r="A19" t="str">
        <x:v>Euronext</x:v>
      </x:c>
      <x:c r="B19" t="str">
        <x:v>ALBFR.PA</x:v>
      </x:c>
      <x:c r="C19" s="18" t="n">
        <x:v>46206</x:v>
      </x:c>
      <x:c r="D19" s="94" t="n">
        <x:v>179.2</x:v>
      </x:c>
      <x:c r="E19" s="94" t="n">
        <x:v>179.1999969482422</x:v>
      </x:c>
      <x:c r="F19" s="94" t="n">
        <x:f>E19-D19</x:f>
        <x:v>-0.0000030517578011313162</x:v>
      </x:c>
      <x:c r="G19" s="50" t="n">
        <x:v>2628</x:v>
      </x:c>
      <x:c r="H19" s="50" t="n">
        <x:v>2628</x:v>
      </x:c>
      <x:c r="I19" s="50" t="n">
        <x:f>H19-G19</x:f>
        <x:v>0</x:v>
      </x:c>
      <x:c r="J19" t="str">
        <x:f>IF(AND(ABS(F19)&lt;0.011,ABS(I19)&lt;=MAX(100,G19*0.001)),"PASS","FAIL")</x:f>
        <x:v>PASS</x:v>
      </x:c>
    </x:row>
    <x:row r="20">
      <x:c r="A20" t="str">
        <x:v>Euronext</x:v>
      </x:c>
      <x:c r="B20" t="str">
        <x:v>ALBFR.PA</x:v>
      </x:c>
      <x:c r="C20" s="18" t="n">
        <x:v>46205</x:v>
      </x:c>
      <x:c r="D20" s="94" t="n">
        <x:v>180.4</x:v>
      </x:c>
      <x:c r="E20" s="94" t="n">
        <x:v>180.39999389648438</x:v>
      </x:c>
      <x:c r="F20" s="94" t="n">
        <x:f>E20-D20</x:f>
        <x:v>-0.000006103515630684342</x:v>
      </x:c>
      <x:c r="G20" s="50" t="n">
        <x:v>1842</x:v>
      </x:c>
      <x:c r="H20" s="50" t="n">
        <x:v>1842</x:v>
      </x:c>
      <x:c r="I20" s="50" t="n">
        <x:f>H20-G20</x:f>
        <x:v>0</x:v>
      </x:c>
      <x:c r="J20" t="str">
        <x:f>IF(AND(ABS(F20)&lt;0.011,ABS(I20)&lt;=MAX(100,G20*0.001)),"PASS","FAIL")</x:f>
        <x:v>PASS</x:v>
      </x:c>
    </x:row>
    <x:row r="21">
      <x:c r="A21" t="str">
        <x:v>Nasdaq</x:v>
      </x:c>
      <x:c r="B21" t="str">
        <x:v>BL</x:v>
      </x:c>
      <x:c r="C21" s="18" t="n">
        <x:v>46217</x:v>
      </x:c>
      <x:c r="D21" s="94" t="n">
        <x:v>29.11</x:v>
      </x:c>
      <x:c r="E21" s="94" t="n">
        <x:v>29.110000610351562</x:v>
      </x:c>
      <x:c r="F21" s="94" t="n">
        <x:f>E21-D21</x:f>
        <x:v>6.103515630684342e-7</x:v>
      </x:c>
      <x:c r="G21" s="50" t="n">
        <x:v>901028</x:v>
      </x:c>
      <x:c r="H21" s="50" t="n">
        <x:v>901000</x:v>
      </x:c>
      <x:c r="I21" s="50" t="n">
        <x:f>H21-G21</x:f>
        <x:v>-28</x:v>
      </x:c>
      <x:c r="J21" t="str">
        <x:f>IF(AND(ABS(F21)&lt;0.011,ABS(I21)&lt;=MAX(100,G21*0.001)),"PASS","FAIL")</x:f>
        <x:v>PASS</x:v>
      </x:c>
    </x:row>
    <x:row r="22">
      <x:c r="A22" t="str">
        <x:v>Nasdaq</x:v>
      </x:c>
      <x:c r="B22" t="str">
        <x:v>BL</x:v>
      </x:c>
      <x:c r="C22" s="18" t="n">
        <x:v>46216</x:v>
      </x:c>
      <x:c r="D22" s="94" t="n">
        <x:v>30.09</x:v>
      </x:c>
      <x:c r="E22" s="94" t="n">
        <x:v>30.09000015258789</x:v>
      </x:c>
      <x:c r="F22" s="94" t="n">
        <x:f>E22-D22</x:f>
        <x:v>1.5258789076710855e-7</x:v>
      </x:c>
      <x:c r="G22" s="50" t="n">
        <x:v>1293845</x:v>
      </x:c>
      <x:c r="H22" s="50" t="n">
        <x:v>1293800</x:v>
      </x:c>
      <x:c r="I22" s="50" t="n">
        <x:f>H22-G22</x:f>
        <x:v>-45</x:v>
      </x:c>
      <x:c r="J22" t="str">
        <x:f>IF(AND(ABS(F22)&lt;0.011,ABS(I22)&lt;=MAX(100,G22*0.001)),"PASS","FAIL")</x:f>
        <x:v>PASS</x:v>
      </x:c>
    </x:row>
    <x:row r="23">
      <x:c r="A23" t="str">
        <x:v>Nasdaq</x:v>
      </x:c>
      <x:c r="B23" t="str">
        <x:v>BL</x:v>
      </x:c>
      <x:c r="C23" s="18" t="n">
        <x:v>46213</x:v>
      </x:c>
      <x:c r="D23" s="94" t="n">
        <x:v>29.13</x:v>
      </x:c>
      <x:c r="E23" s="94" t="n">
        <x:v>29.1299991607666</x:v>
      </x:c>
      <x:c r="F23" s="94" t="n">
        <x:f>E23-D23</x:f>
        <x:v>-8.392333974427402e-7</x:v>
      </x:c>
      <x:c r="G23" s="50" t="n">
        <x:v>713976</x:v>
      </x:c>
      <x:c r="H23" s="50" t="n">
        <x:v>714000</x:v>
      </x:c>
      <x:c r="I23" s="50" t="n">
        <x:f>H23-G23</x:f>
        <x:v>24</x:v>
      </x:c>
      <x:c r="J23" t="str">
        <x:f>IF(AND(ABS(F23)&lt;0.011,ABS(I23)&lt;=MAX(100,G23*0.001)),"PASS","FAIL")</x:f>
        <x:v>PASS</x:v>
      </x:c>
    </x:row>
    <x:row r="24">
      <x:c r="A24" t="str">
        <x:v>Nasdaq</x:v>
      </x:c>
      <x:c r="B24" t="str">
        <x:v>BL</x:v>
      </x:c>
      <x:c r="C24" s="18" t="n">
        <x:v>46212</x:v>
      </x:c>
      <x:c r="D24" s="94" t="n">
        <x:v>29.04</x:v>
      </x:c>
      <x:c r="E24" s="94" t="n">
        <x:v>29.040000915527344</x:v>
      </x:c>
      <x:c r="F24" s="94" t="n">
        <x:f>E24-D24</x:f>
        <x:v>9.155273446026513e-7</x:v>
      </x:c>
      <x:c r="G24" s="50" t="n">
        <x:v>836860</x:v>
      </x:c>
      <x:c r="H24" s="50" t="n">
        <x:v>836900</x:v>
      </x:c>
      <x:c r="I24" s="50" t="n">
        <x:f>H24-G24</x:f>
        <x:v>40</x:v>
      </x:c>
      <x:c r="J24" t="str">
        <x:f>IF(AND(ABS(F24)&lt;0.011,ABS(I24)&lt;=MAX(100,G24*0.001)),"PASS","FAIL")</x:f>
        <x:v>PASS</x:v>
      </x:c>
    </x:row>
    <x:row r="25">
      <x:c r="A25" t="str">
        <x:v>Nasdaq</x:v>
      </x:c>
      <x:c r="B25" t="str">
        <x:v>BL</x:v>
      </x:c>
      <x:c r="C25" s="18" t="n">
        <x:v>46211</x:v>
      </x:c>
      <x:c r="D25" s="94" t="n">
        <x:v>28.55</x:v>
      </x:c>
      <x:c r="E25" s="94" t="n">
        <x:v>28.549999237060547</x:v>
      </x:c>
      <x:c r="F25" s="94" t="n">
        <x:f>E25-D25</x:f>
        <x:v>-7.629394538355427e-7</x:v>
      </x:c>
      <x:c r="G25" s="50" t="n">
        <x:v>1027501</x:v>
      </x:c>
      <x:c r="H25" s="50" t="n">
        <x:v>1027500</x:v>
      </x:c>
      <x:c r="I25" s="50" t="n">
        <x:f>H25-G25</x:f>
        <x:v>-1</x:v>
      </x:c>
      <x:c r="J25" t="str">
        <x:f>IF(AND(ABS(F25)&lt;0.011,ABS(I25)&lt;=MAX(100,G25*0.001)),"PASS","FAIL")</x:f>
        <x:v>PASS</x:v>
      </x:c>
    </x:row>
    <x:row r="26">
      <x:c r="A26" t="str">
        <x:v>Nasdaq</x:v>
      </x:c>
      <x:c r="B26" t="str">
        <x:v>BL</x:v>
      </x:c>
      <x:c r="C26" s="18" t="n">
        <x:v>46210</x:v>
      </x:c>
      <x:c r="D26" s="94" t="n">
        <x:v>29.02</x:v>
      </x:c>
      <x:c r="E26" s="94" t="n">
        <x:v>29.020000457763672</x:v>
      </x:c>
      <x:c r="F26" s="94" t="n">
        <x:f>E26-D26</x:f>
        <x:v>4.5776367230132564e-7</x:v>
      </x:c>
      <x:c r="G26" s="50" t="n">
        <x:v>776098</x:v>
      </x:c>
      <x:c r="H26" s="50" t="n">
        <x:v>776100</x:v>
      </x:c>
      <x:c r="I26" s="50" t="n">
        <x:f>H26-G26</x:f>
        <x:v>2</x:v>
      </x:c>
      <x:c r="J26" t="str">
        <x:f>IF(AND(ABS(F26)&lt;0.011,ABS(I26)&lt;=MAX(100,G26*0.001)),"PASS","FAIL")</x:f>
        <x:v>PASS</x:v>
      </x:c>
    </x:row>
    <x:row r="27">
      <x:c r="A27" t="str">
        <x:v>Nasdaq</x:v>
      </x:c>
      <x:c r="B27" t="str">
        <x:v>BL</x:v>
      </x:c>
      <x:c r="C27" s="18" t="n">
        <x:v>46209</x:v>
      </x:c>
      <x:c r="D27" s="94" t="n">
        <x:v>29.1</x:v>
      </x:c>
      <x:c r="E27" s="94" t="n">
        <x:v>29.100000381469727</x:v>
      </x:c>
      <x:c r="F27" s="94" t="n">
        <x:f>E27-D27</x:f>
        <x:v>3.8146972514141453e-7</x:v>
      </x:c>
      <x:c r="G27" s="50" t="n">
        <x:v>743762</x:v>
      </x:c>
      <x:c r="H27" s="50" t="n">
        <x:v>743600</x:v>
      </x:c>
      <x:c r="I27" s="50" t="n">
        <x:f>H27-G27</x:f>
        <x:v>-162</x:v>
      </x:c>
      <x:c r="J27" t="str">
        <x:f>IF(AND(ABS(F27)&lt;0.011,ABS(I27)&lt;=MAX(100,G27*0.001)),"PASS","FAIL")</x:f>
        <x:v>PASS</x:v>
      </x:c>
    </x:row>
    <x:row r="28">
      <x:c r="A28" t="str">
        <x:v>Nasdaq</x:v>
      </x:c>
      <x:c r="B28" t="str">
        <x:v>BL</x:v>
      </x:c>
      <x:c r="C28" s="18" t="n">
        <x:v>46205</x:v>
      </x:c>
      <x:c r="D28" s="94" t="n">
        <x:v>29.88</x:v>
      </x:c>
      <x:c r="E28" s="94" t="n">
        <x:v>29.8799991607666</x:v>
      </x:c>
      <x:c r="F28" s="94" t="n">
        <x:f>E28-D28</x:f>
        <x:v>-8.392333974427402e-7</x:v>
      </x:c>
      <x:c r="G28" s="50" t="n">
        <x:v>1055620</x:v>
      </x:c>
      <x:c r="H28" s="50" t="n">
        <x:v>1055600</x:v>
      </x:c>
      <x:c r="I28" s="50" t="n">
        <x:f>H28-G28</x:f>
        <x:v>-20</x:v>
      </x:c>
      <x:c r="J28" t="str">
        <x:f>IF(AND(ABS(F28)&lt;0.011,ABS(I28)&lt;=MAX(100,G28*0.001)),"PASS","FAIL")</x:f>
        <x:v>PASS</x:v>
      </x:c>
    </x:row>
    <x:row r="29">
      <x:c r="A29" t="str">
        <x:v>Nasdaq</x:v>
      </x:c>
      <x:c r="B29" t="str">
        <x:v>BL</x:v>
      </x:c>
      <x:c r="C29" s="18" t="n">
        <x:v>46204</x:v>
      </x:c>
      <x:c r="D29" s="94" t="n">
        <x:v>29.45</x:v>
      </x:c>
      <x:c r="E29" s="94" t="n">
        <x:v>29.450000762939453</x:v>
      </x:c>
      <x:c r="F29" s="94" t="n">
        <x:f>E29-D29</x:f>
        <x:v>7.629394538355427e-7</x:v>
      </x:c>
      <x:c r="G29" s="50" t="n">
        <x:v>1225090</x:v>
      </x:c>
      <x:c r="H29" s="50" t="n">
        <x:v>1225100</x:v>
      </x:c>
      <x:c r="I29" s="50" t="n">
        <x:f>H29-G29</x:f>
        <x:v>10</x:v>
      </x:c>
      <x:c r="J29" t="str">
        <x:f>IF(AND(ABS(F29)&lt;0.011,ABS(I29)&lt;=MAX(100,G29*0.001)),"PASS","FAIL")</x:f>
        <x:v>PASS</x:v>
      </x:c>
    </x:row>
    <x:row r="30">
      <x:c r="A30" t="str">
        <x:v>Nasdaq</x:v>
      </x:c>
      <x:c r="B30" t="str">
        <x:v>BILL</x:v>
      </x:c>
      <x:c r="C30" s="18" t="n">
        <x:v>46217</x:v>
      </x:c>
      <x:c r="D30" s="94" t="n">
        <x:v>41.37</x:v>
      </x:c>
      <x:c r="E30" s="94" t="n">
        <x:v>41.369998931884766</x:v>
      </x:c>
      <x:c r="F30" s="94" t="n">
        <x:f>E30-D30</x:f>
        <x:v>-0.0000010681152318170462</x:v>
      </x:c>
      <x:c r="G30" s="50" t="n">
        <x:v>1926650</x:v>
      </x:c>
      <x:c r="H30" s="50" t="n">
        <x:v>1926600</x:v>
      </x:c>
      <x:c r="I30" s="50" t="n">
        <x:f>H30-G30</x:f>
        <x:v>-50</x:v>
      </x:c>
      <x:c r="J30" t="str">
        <x:f>IF(AND(ABS(F30)&lt;0.011,ABS(I30)&lt;=MAX(100,G30*0.001)),"PASS","FAIL")</x:f>
        <x:v>PASS</x:v>
      </x:c>
    </x:row>
    <x:row r="31">
      <x:c r="A31" t="str">
        <x:v>Nasdaq</x:v>
      </x:c>
      <x:c r="B31" t="str">
        <x:v>BILL</x:v>
      </x:c>
      <x:c r="C31" s="18" t="n">
        <x:v>46216</x:v>
      </x:c>
      <x:c r="D31" s="94" t="n">
        <x:v>42.86</x:v>
      </x:c>
      <x:c r="E31" s="94" t="n">
        <x:v>42.86000061035156</x:v>
      </x:c>
      <x:c r="F31" s="94" t="n">
        <x:f>E31-D31</x:f>
        <x:v>6.103515630684342e-7</x:v>
      </x:c>
      <x:c r="G31" s="50" t="n">
        <x:v>2183690</x:v>
      </x:c>
      <x:c r="H31" s="50" t="n">
        <x:v>2183300</x:v>
      </x:c>
      <x:c r="I31" s="50" t="n">
        <x:f>H31-G31</x:f>
        <x:v>-390</x:v>
      </x:c>
      <x:c r="J31" t="str">
        <x:f>IF(AND(ABS(F31)&lt;0.011,ABS(I31)&lt;=MAX(100,G31*0.001)),"PASS","FAIL")</x:f>
        <x:v>PASS</x:v>
      </x:c>
    </x:row>
    <x:row r="32">
      <x:c r="A32" t="str">
        <x:v>Nasdaq</x:v>
      </x:c>
      <x:c r="B32" t="str">
        <x:v>BILL</x:v>
      </x:c>
      <x:c r="C32" s="18" t="n">
        <x:v>46213</x:v>
      </x:c>
      <x:c r="D32" s="94" t="n">
        <x:v>41.36</x:v>
      </x:c>
      <x:c r="E32" s="94" t="n">
        <x:v>41.36000061035156</x:v>
      </x:c>
      <x:c r="F32" s="94" t="n">
        <x:f>E32-D32</x:f>
        <x:v>6.103515630684342e-7</x:v>
      </x:c>
      <x:c r="G32" s="50" t="n">
        <x:v>1877510</x:v>
      </x:c>
      <x:c r="H32" s="50" t="n">
        <x:v>1877500</x:v>
      </x:c>
      <x:c r="I32" s="50" t="n">
        <x:f>H32-G32</x:f>
        <x:v>-10</x:v>
      </x:c>
      <x:c r="J32" t="str">
        <x:f>IF(AND(ABS(F32)&lt;0.011,ABS(I32)&lt;=MAX(100,G32*0.001)),"PASS","FAIL")</x:f>
        <x:v>PASS</x:v>
      </x:c>
    </x:row>
    <x:row r="33">
      <x:c r="A33" t="str">
        <x:v>Nasdaq</x:v>
      </x:c>
      <x:c r="B33" t="str">
        <x:v>BILL</x:v>
      </x:c>
      <x:c r="C33" s="18" t="n">
        <x:v>46212</x:v>
      </x:c>
      <x:c r="D33" s="94" t="n">
        <x:v>40.52</x:v>
      </x:c>
      <x:c r="E33" s="94" t="n">
        <x:v>40.52000045776367</x:v>
      </x:c>
      <x:c r="F33" s="94" t="n">
        <x:f>E33-D33</x:f>
        <x:v>4.5776366874861196e-7</x:v>
      </x:c>
      <x:c r="G33" s="50" t="n">
        <x:v>2092642</x:v>
      </x:c>
      <x:c r="H33" s="50" t="n">
        <x:v>2092600</x:v>
      </x:c>
      <x:c r="I33" s="50" t="n">
        <x:f>H33-G33</x:f>
        <x:v>-42</x:v>
      </x:c>
      <x:c r="J33" t="str">
        <x:f>IF(AND(ABS(F33)&lt;0.011,ABS(I33)&lt;=MAX(100,G33*0.001)),"PASS","FAIL")</x:f>
        <x:v>PASS</x:v>
      </x:c>
    </x:row>
    <x:row r="34">
      <x:c r="A34" t="str">
        <x:v>Nasdaq</x:v>
      </x:c>
      <x:c r="B34" t="str">
        <x:v>BILL</x:v>
      </x:c>
      <x:c r="C34" s="18" t="n">
        <x:v>46211</x:v>
      </x:c>
      <x:c r="D34" s="94" t="n">
        <x:v>39.3</x:v>
      </x:c>
      <x:c r="E34" s="94" t="n">
        <x:v>39.29999923706055</x:v>
      </x:c>
      <x:c r="F34" s="94" t="n">
        <x:f>E34-D34</x:f>
        <x:v>-7.629394502828291e-7</x:v>
      </x:c>
      <x:c r="G34" s="50" t="n">
        <x:v>1723210</x:v>
      </x:c>
      <x:c r="H34" s="50" t="n">
        <x:v>1722900</x:v>
      </x:c>
      <x:c r="I34" s="50" t="n">
        <x:f>H34-G34</x:f>
        <x:v>-310</x:v>
      </x:c>
      <x:c r="J34" t="str">
        <x:f>IF(AND(ABS(F34)&lt;0.011,ABS(I34)&lt;=MAX(100,G34*0.001)),"PASS","FAIL")</x:f>
        <x:v>PASS</x:v>
      </x:c>
    </x:row>
    <x:row r="35">
      <x:c r="A35" t="str">
        <x:v>Nasdaq</x:v>
      </x:c>
      <x:c r="B35" t="str">
        <x:v>BILL</x:v>
      </x:c>
      <x:c r="C35" s="18" t="n">
        <x:v>46210</x:v>
      </x:c>
      <x:c r="D35" s="94" t="n">
        <x:v>40.68</x:v>
      </x:c>
      <x:c r="E35" s="94" t="n">
        <x:v>40.68000030517578</x:v>
      </x:c>
      <x:c r="F35" s="94" t="n">
        <x:f>E35-D35</x:f>
        <x:v>3.051757815342171e-7</x:v>
      </x:c>
      <x:c r="G35" s="50" t="n">
        <x:v>2091369</x:v>
      </x:c>
      <x:c r="H35" s="50" t="n">
        <x:v>2091200</x:v>
      </x:c>
      <x:c r="I35" s="50" t="n">
        <x:f>H35-G35</x:f>
        <x:v>-169</x:v>
      </x:c>
      <x:c r="J35" t="str">
        <x:f>IF(AND(ABS(F35)&lt;0.011,ABS(I35)&lt;=MAX(100,G35*0.001)),"PASS","FAIL")</x:f>
        <x:v>PASS</x:v>
      </x:c>
    </x:row>
    <x:row r="36">
      <x:c r="A36" t="str">
        <x:v>Nasdaq</x:v>
      </x:c>
      <x:c r="B36" t="str">
        <x:v>BILL</x:v>
      </x:c>
      <x:c r="C36" s="18" t="n">
        <x:v>46209</x:v>
      </x:c>
      <x:c r="D36" s="94" t="n">
        <x:v>40.23</x:v>
      </x:c>
      <x:c r="E36" s="94" t="n">
        <x:v>40.22999954223633</x:v>
      </x:c>
      <x:c r="F36" s="94" t="n">
        <x:f>E36-D36</x:f>
        <x:v>-4.5776366874861196e-7</x:v>
      </x:c>
      <x:c r="G36" s="50" t="n">
        <x:v>1865667</x:v>
      </x:c>
      <x:c r="H36" s="50" t="n">
        <x:v>1865300</x:v>
      </x:c>
      <x:c r="I36" s="50" t="n">
        <x:f>H36-G36</x:f>
        <x:v>-367</x:v>
      </x:c>
      <x:c r="J36" t="str">
        <x:f>IF(AND(ABS(F36)&lt;0.011,ABS(I36)&lt;=MAX(100,G36*0.001)),"PASS","FAIL")</x:f>
        <x:v>PASS</x:v>
      </x:c>
    </x:row>
    <x:row r="37">
      <x:c r="A37" t="str">
        <x:v>Nasdaq</x:v>
      </x:c>
      <x:c r="B37" t="str">
        <x:v>BILL</x:v>
      </x:c>
      <x:c r="C37" s="18" t="n">
        <x:v>46205</x:v>
      </x:c>
      <x:c r="D37" s="94" t="n">
        <x:v>40.48</x:v>
      </x:c>
      <x:c r="E37" s="94" t="n">
        <x:v>40.47999954223633</x:v>
      </x:c>
      <x:c r="F37" s="94" t="n">
        <x:f>E37-D37</x:f>
        <x:v>-4.5776366874861196e-7</x:v>
      </x:c>
      <x:c r="G37" s="50" t="n">
        <x:v>2817623</x:v>
      </x:c>
      <x:c r="H37" s="50" t="n">
        <x:v>2817100</x:v>
      </x:c>
      <x:c r="I37" s="50" t="n">
        <x:f>H37-G37</x:f>
        <x:v>-523</x:v>
      </x:c>
      <x:c r="J37" t="str">
        <x:f>IF(AND(ABS(F37)&lt;0.011,ABS(I37)&lt;=MAX(100,G37*0.001)),"PASS","FAIL")</x:f>
        <x:v>PASS</x:v>
      </x:c>
    </x:row>
    <x:row r="38">
      <x:c r="A38" t="str">
        <x:v>Nasdaq</x:v>
      </x:c>
      <x:c r="B38" t="str">
        <x:v>BILL</x:v>
      </x:c>
      <x:c r="C38" s="18" t="n">
        <x:v>46204</x:v>
      </x:c>
      <x:c r="D38" s="94" t="n">
        <x:v>38.78</x:v>
      </x:c>
      <x:c r="E38" s="94" t="n">
        <x:v>38.779998779296875</x:v>
      </x:c>
      <x:c r="F38" s="94" t="n">
        <x:f>E38-D38</x:f>
        <x:v>-0.0000012207031261368684</x:v>
      </x:c>
      <x:c r="G38" s="50" t="n">
        <x:v>3752638</x:v>
      </x:c>
      <x:c r="H38" s="50" t="n">
        <x:v>3752500</x:v>
      </x:c>
      <x:c r="I38" s="50" t="n">
        <x:f>H38-G38</x:f>
        <x:v>-138</x:v>
      </x:c>
      <x:c r="J38" t="str">
        <x:f>IF(AND(ABS(F38)&lt;0.011,ABS(I38)&lt;=MAX(100,G38*0.001)),"PASS","FAIL")</x:f>
        <x:v>PASS</x:v>
      </x:c>
    </x:row>
    <x:row r="39">
      <x:c r="A39" t="str">
        <x:v>Nasdaq</x:v>
      </x:c>
      <x:c r="B39" t="str">
        <x:v>NCNO</x:v>
      </x:c>
      <x:c r="C39" s="18" t="n">
        <x:v>46217</x:v>
      </x:c>
      <x:c r="D39" s="94" t="n">
        <x:v>17.52</x:v>
      </x:c>
      <x:c r="E39" s="94" t="n">
        <x:v>17.520000457763672</x:v>
      </x:c>
      <x:c r="F39" s="94" t="n">
        <x:f>E39-D39</x:f>
        <x:v>4.5776367230132564e-7</x:v>
      </x:c>
      <x:c r="G39" s="50" t="n">
        <x:v>1747609</x:v>
      </x:c>
      <x:c r="H39" s="50" t="n">
        <x:v>1747600</x:v>
      </x:c>
      <x:c r="I39" s="50" t="n">
        <x:f>H39-G39</x:f>
        <x:v>-9</x:v>
      </x:c>
      <x:c r="J39" t="str">
        <x:f>IF(AND(ABS(F39)&lt;0.011,ABS(I39)&lt;=MAX(100,G39*0.001)),"PASS","FAIL")</x:f>
        <x:v>PASS</x:v>
      </x:c>
    </x:row>
    <x:row r="40">
      <x:c r="A40" t="str">
        <x:v>Nasdaq</x:v>
      </x:c>
      <x:c r="B40" t="str">
        <x:v>NCNO</x:v>
      </x:c>
      <x:c r="C40" s="18" t="n">
        <x:v>46216</x:v>
      </x:c>
      <x:c r="D40" s="94" t="n">
        <x:v>17.4</x:v>
      </x:c>
      <x:c r="E40" s="94" t="n">
        <x:v>17.399999618530273</x:v>
      </x:c>
      <x:c r="F40" s="94" t="n">
        <x:f>E40-D40</x:f>
        <x:v>-3.8146972514141453e-7</x:v>
      </x:c>
      <x:c r="G40" s="50" t="n">
        <x:v>2419088</x:v>
      </x:c>
      <x:c r="H40" s="50" t="n">
        <x:v>2419100</x:v>
      </x:c>
      <x:c r="I40" s="50" t="n">
        <x:f>H40-G40</x:f>
        <x:v>12</x:v>
      </x:c>
      <x:c r="J40" t="str">
        <x:f>IF(AND(ABS(F40)&lt;0.011,ABS(I40)&lt;=MAX(100,G40*0.001)),"PASS","FAIL")</x:f>
        <x:v>PASS</x:v>
      </x:c>
    </x:row>
    <x:row r="41">
      <x:c r="A41" t="str">
        <x:v>Nasdaq</x:v>
      </x:c>
      <x:c r="B41" t="str">
        <x:v>NCNO</x:v>
      </x:c>
      <x:c r="C41" s="18" t="n">
        <x:v>46213</x:v>
      </x:c>
      <x:c r="D41" s="94" t="n">
        <x:v>16.99</x:v>
      </x:c>
      <x:c r="E41" s="94" t="n">
        <x:v>16.989999771118164</x:v>
      </x:c>
      <x:c r="F41" s="94" t="n">
        <x:f>E41-D41</x:f>
        <x:v>-2.2888183437430598e-7</x:v>
      </x:c>
      <x:c r="G41" s="50" t="n">
        <x:v>1423238</x:v>
      </x:c>
      <x:c r="H41" s="50" t="n">
        <x:v>1423200</x:v>
      </x:c>
      <x:c r="I41" s="50" t="n">
        <x:f>H41-G41</x:f>
        <x:v>-38</x:v>
      </x:c>
      <x:c r="J41" t="str">
        <x:f>IF(AND(ABS(F41)&lt;0.011,ABS(I41)&lt;=MAX(100,G41*0.001)),"PASS","FAIL")</x:f>
        <x:v>PASS</x:v>
      </x:c>
    </x:row>
    <x:row r="42">
      <x:c r="A42" t="str">
        <x:v>Nasdaq</x:v>
      </x:c>
      <x:c r="B42" t="str">
        <x:v>NCNO</x:v>
      </x:c>
      <x:c r="C42" s="18" t="n">
        <x:v>46212</x:v>
      </x:c>
      <x:c r="D42" s="94" t="n">
        <x:v>16.98</x:v>
      </x:c>
      <x:c r="E42" s="94" t="n">
        <x:v>16.979999542236328</x:v>
      </x:c>
      <x:c r="F42" s="94" t="n">
        <x:f>E42-D42</x:f>
        <x:v>-4.5776367230132564e-7</x:v>
      </x:c>
      <x:c r="G42" s="50" t="n">
        <x:v>2912196</x:v>
      </x:c>
      <x:c r="H42" s="50" t="n">
        <x:v>2912200</x:v>
      </x:c>
      <x:c r="I42" s="50" t="n">
        <x:f>H42-G42</x:f>
        <x:v>4</x:v>
      </x:c>
      <x:c r="J42" t="str">
        <x:f>IF(AND(ABS(F42)&lt;0.011,ABS(I42)&lt;=MAX(100,G42*0.001)),"PASS","FAIL")</x:f>
        <x:v>PASS</x:v>
      </x:c>
    </x:row>
    <x:row r="43">
      <x:c r="A43" t="str">
        <x:v>Nasdaq</x:v>
      </x:c>
      <x:c r="B43" t="str">
        <x:v>NCNO</x:v>
      </x:c>
      <x:c r="C43" s="18" t="n">
        <x:v>46211</x:v>
      </x:c>
      <x:c r="D43" s="94" t="n">
        <x:v>17.34</x:v>
      </x:c>
      <x:c r="E43" s="94" t="n">
        <x:v>17.34000015258789</x:v>
      </x:c>
      <x:c r="F43" s="94" t="n">
        <x:f>E43-D43</x:f>
        <x:v>1.5258789076710855e-7</x:v>
      </x:c>
      <x:c r="G43" s="50" t="n">
        <x:v>3399168</x:v>
      </x:c>
      <x:c r="H43" s="50" t="n">
        <x:v>3399100</x:v>
      </x:c>
      <x:c r="I43" s="50" t="n">
        <x:f>H43-G43</x:f>
        <x:v>-68</x:v>
      </x:c>
      <x:c r="J43" t="str">
        <x:f>IF(AND(ABS(F43)&lt;0.011,ABS(I43)&lt;=MAX(100,G43*0.001)),"PASS","FAIL")</x:f>
        <x:v>PASS</x:v>
      </x:c>
    </x:row>
    <x:row r="44">
      <x:c r="A44" t="str">
        <x:v>Nasdaq</x:v>
      </x:c>
      <x:c r="B44" t="str">
        <x:v>NCNO</x:v>
      </x:c>
      <x:c r="C44" s="18" t="n">
        <x:v>46210</x:v>
      </x:c>
      <x:c r="D44" s="94" t="n">
        <x:v>18.06</x:v>
      </x:c>
      <x:c r="E44" s="94" t="n">
        <x:v>18.059999465942383</x:v>
      </x:c>
      <x:c r="F44" s="94" t="n">
        <x:f>E44-D44</x:f>
        <x:v>-5.340576159085231e-7</x:v>
      </x:c>
      <x:c r="G44" s="50" t="n">
        <x:v>3348651</x:v>
      </x:c>
      <x:c r="H44" s="50" t="n">
        <x:v>3348700</x:v>
      </x:c>
      <x:c r="I44" s="50" t="n">
        <x:f>H44-G44</x:f>
        <x:v>49</x:v>
      </x:c>
      <x:c r="J44" t="str">
        <x:f>IF(AND(ABS(F44)&lt;0.011,ABS(I44)&lt;=MAX(100,G44*0.001)),"PASS","FAIL")</x:f>
        <x:v>PASS</x:v>
      </x:c>
    </x:row>
    <x:row r="45">
      <x:c r="A45" t="str">
        <x:v>Nasdaq</x:v>
      </x:c>
      <x:c r="B45" t="str">
        <x:v>NCNO</x:v>
      </x:c>
      <x:c r="C45" s="18" t="n">
        <x:v>46209</x:v>
      </x:c>
      <x:c r="D45" s="94" t="n">
        <x:v>18.14</x:v>
      </x:c>
      <x:c r="E45" s="94" t="n">
        <x:v>18.139999389648438</x:v>
      </x:c>
      <x:c r="F45" s="94" t="n">
        <x:f>E45-D45</x:f>
        <x:v>-6.103515630684342e-7</x:v>
      </x:c>
      <x:c r="G45" s="50" t="n">
        <x:v>2623936</x:v>
      </x:c>
      <x:c r="H45" s="50" t="n">
        <x:v>2623900</x:v>
      </x:c>
      <x:c r="I45" s="50" t="n">
        <x:f>H45-G45</x:f>
        <x:v>-36</x:v>
      </x:c>
      <x:c r="J45" t="str">
        <x:f>IF(AND(ABS(F45)&lt;0.011,ABS(I45)&lt;=MAX(100,G45*0.001)),"PASS","FAIL")</x:f>
        <x:v>PASS</x:v>
      </x:c>
    </x:row>
    <x:row r="46">
      <x:c r="A46" t="str">
        <x:v>Nasdaq</x:v>
      </x:c>
      <x:c r="B46" t="str">
        <x:v>NCNO</x:v>
      </x:c>
      <x:c r="C46" s="18" t="n">
        <x:v>46205</x:v>
      </x:c>
      <x:c r="D46" s="94" t="n">
        <x:v>17.75</x:v>
      </x:c>
      <x:c r="E46" s="94" t="n">
        <x:v>17.75</x:v>
      </x:c>
      <x:c r="F46" s="94" t="n">
        <x:f>E46-D46</x:f>
        <x:v>0</x:v>
      </x:c>
      <x:c r="G46" s="50" t="n">
        <x:v>3384399</x:v>
      </x:c>
      <x:c r="H46" s="50" t="n">
        <x:v>3384400</x:v>
      </x:c>
      <x:c r="I46" s="50" t="n">
        <x:f>H46-G46</x:f>
        <x:v>1</x:v>
      </x:c>
      <x:c r="J46" t="str">
        <x:f>IF(AND(ABS(F46)&lt;0.011,ABS(I46)&lt;=MAX(100,G46*0.001)),"PASS","FAIL")</x:f>
        <x:v>PASS</x:v>
      </x:c>
    </x:row>
    <x:row r="47">
      <x:c r="A47" t="str">
        <x:v>Nasdaq</x:v>
      </x:c>
      <x:c r="B47" t="str">
        <x:v>NCNO</x:v>
      </x:c>
      <x:c r="C47" s="18" t="n">
        <x:v>46204</x:v>
      </x:c>
      <x:c r="D47" s="94" t="n">
        <x:v>17.15</x:v>
      </x:c>
      <x:c r="E47" s="94" t="n">
        <x:v>17.149999618530273</x:v>
      </x:c>
      <x:c r="F47" s="94" t="n">
        <x:f>E47-D47</x:f>
        <x:v>-3.8146972514141453e-7</x:v>
      </x:c>
      <x:c r="G47" s="50" t="n">
        <x:v>3872621</x:v>
      </x:c>
      <x:c r="H47" s="50" t="n">
        <x:v>3872600</x:v>
      </x:c>
      <x:c r="I47" s="50" t="n">
        <x:f>H47-G47</x:f>
        <x:v>-21</x:v>
      </x:c>
      <x:c r="J47" t="str">
        <x:f>IF(AND(ABS(F47)&lt;0.011,ABS(I47)&lt;=MAX(100,G47*0.001)),"PASS","FAIL")</x:f>
        <x:v>PASS</x:v>
      </x:c>
    </x:row>
    <x:row r="48">
      <x:c r="A48" t="str">
        <x:v>Nasdaq</x:v>
      </x:c>
      <x:c r="B48" t="str">
        <x:v>WK</x:v>
      </x:c>
      <x:c r="C48" s="18" t="n">
        <x:v>46217</x:v>
      </x:c>
      <x:c r="D48" s="94" t="n">
        <x:v>53.69</x:v>
      </x:c>
      <x:c r="E48" s="94" t="n">
        <x:v>53.689998626708984</x:v>
      </x:c>
      <x:c r="F48" s="94" t="n">
        <x:f>E48-D48</x:f>
        <x:v>-0.0000013732910133512632</x:v>
      </x:c>
      <x:c r="G48" s="50" t="n">
        <x:v>530959</x:v>
      </x:c>
      <x:c r="H48" s="50" t="n">
        <x:v>530900</x:v>
      </x:c>
      <x:c r="I48" s="50" t="n">
        <x:f>H48-G48</x:f>
        <x:v>-59</x:v>
      </x:c>
      <x:c r="J48" t="str">
        <x:f>IF(AND(ABS(F48)&lt;0.011,ABS(I48)&lt;=MAX(100,G48*0.001)),"PASS","FAIL")</x:f>
        <x:v>PASS</x:v>
      </x:c>
    </x:row>
    <x:row r="49">
      <x:c r="A49" t="str">
        <x:v>Nasdaq</x:v>
      </x:c>
      <x:c r="B49" t="str">
        <x:v>WK</x:v>
      </x:c>
      <x:c r="C49" s="18" t="n">
        <x:v>46216</x:v>
      </x:c>
      <x:c r="D49" s="94" t="n">
        <x:v>54.54</x:v>
      </x:c>
      <x:c r="E49" s="94" t="n">
        <x:v>54.540000915527344</x:v>
      </x:c>
      <x:c r="F49" s="94" t="n">
        <x:f>E49-D49</x:f>
        <x:v>9.155273446026513e-7</x:v>
      </x:c>
      <x:c r="G49" s="50" t="n">
        <x:v>996861</x:v>
      </x:c>
      <x:c r="H49" s="50" t="n">
        <x:v>996800</x:v>
      </x:c>
      <x:c r="I49" s="50" t="n">
        <x:f>H49-G49</x:f>
        <x:v>-61</x:v>
      </x:c>
      <x:c r="J49" t="str">
        <x:f>IF(AND(ABS(F49)&lt;0.011,ABS(I49)&lt;=MAX(100,G49*0.001)),"PASS","FAIL")</x:f>
        <x:v>PASS</x:v>
      </x:c>
    </x:row>
    <x:row r="50">
      <x:c r="A50" t="str">
        <x:v>Nasdaq</x:v>
      </x:c>
      <x:c r="B50" t="str">
        <x:v>WK</x:v>
      </x:c>
      <x:c r="C50" s="18" t="n">
        <x:v>46213</x:v>
      </x:c>
      <x:c r="D50" s="94" t="n">
        <x:v>52.17</x:v>
      </x:c>
      <x:c r="E50" s="94" t="n">
        <x:v>52.16999816894531</x:v>
      </x:c>
      <x:c r="F50" s="94" t="n">
        <x:f>E50-D50</x:f>
        <x:v>-0.0000018310546892053026</x:v>
      </x:c>
      <x:c r="G50" s="50" t="n">
        <x:v>582793</x:v>
      </x:c>
      <x:c r="H50" s="50" t="n">
        <x:v>582800</x:v>
      </x:c>
      <x:c r="I50" s="50" t="n">
        <x:f>H50-G50</x:f>
        <x:v>7</x:v>
      </x:c>
      <x:c r="J50" t="str">
        <x:f>IF(AND(ABS(F50)&lt;0.011,ABS(I50)&lt;=MAX(100,G50*0.001)),"PASS","FAIL")</x:f>
        <x:v>PASS</x:v>
      </x:c>
    </x:row>
    <x:row r="51">
      <x:c r="A51" t="str">
        <x:v>Nasdaq</x:v>
      </x:c>
      <x:c r="B51" t="str">
        <x:v>WK</x:v>
      </x:c>
      <x:c r="C51" s="18" t="n">
        <x:v>46212</x:v>
      </x:c>
      <x:c r="D51" s="94" t="n">
        <x:v>52.33</x:v>
      </x:c>
      <x:c r="E51" s="94" t="n">
        <x:v>52.33000183105469</x:v>
      </x:c>
      <x:c r="F51" s="94" t="n">
        <x:f>E51-D51</x:f>
        <x:v>0.0000018310546892053026</x:v>
      </x:c>
      <x:c r="G51" s="50" t="n">
        <x:v>749082</x:v>
      </x:c>
      <x:c r="H51" s="50" t="n">
        <x:v>749100</x:v>
      </x:c>
      <x:c r="I51" s="50" t="n">
        <x:f>H51-G51</x:f>
        <x:v>18</x:v>
      </x:c>
      <x:c r="J51" t="str">
        <x:f>IF(AND(ABS(F51)&lt;0.011,ABS(I51)&lt;=MAX(100,G51*0.001)),"PASS","FAIL")</x:f>
        <x:v>PASS</x:v>
      </x:c>
    </x:row>
    <x:row r="52">
      <x:c r="A52" t="str">
        <x:v>Nasdaq</x:v>
      </x:c>
      <x:c r="B52" t="str">
        <x:v>WK</x:v>
      </x:c>
      <x:c r="C52" s="18" t="n">
        <x:v>46211</x:v>
      </x:c>
      <x:c r="D52" s="94" t="n">
        <x:v>51.97</x:v>
      </x:c>
      <x:c r="E52" s="94" t="n">
        <x:v>51.970001220703125</x:v>
      </x:c>
      <x:c r="F52" s="94" t="n">
        <x:f>E52-D52</x:f>
        <x:v>0.0000012207031261368684</x:v>
      </x:c>
      <x:c r="G52" s="50" t="n">
        <x:v>856622</x:v>
      </x:c>
      <x:c r="H52" s="50" t="n">
        <x:v>856600</x:v>
      </x:c>
      <x:c r="I52" s="50" t="n">
        <x:f>H52-G52</x:f>
        <x:v>-22</x:v>
      </x:c>
      <x:c r="J52" t="str">
        <x:f>IF(AND(ABS(F52)&lt;0.011,ABS(I52)&lt;=MAX(100,G52*0.001)),"PASS","FAIL")</x:f>
        <x:v>PASS</x:v>
      </x:c>
    </x:row>
    <x:row r="53">
      <x:c r="A53" t="str">
        <x:v>Nasdaq</x:v>
      </x:c>
      <x:c r="B53" t="str">
        <x:v>WK</x:v>
      </x:c>
      <x:c r="C53" s="18" t="n">
        <x:v>46210</x:v>
      </x:c>
      <x:c r="D53" s="94" t="n">
        <x:v>52.96</x:v>
      </x:c>
      <x:c r="E53" s="94" t="n">
        <x:v>52.959999084472656</x:v>
      </x:c>
      <x:c r="F53" s="94" t="n">
        <x:f>E53-D53</x:f>
        <x:v>-9.155273446026513e-7</x:v>
      </x:c>
      <x:c r="G53" s="50" t="n">
        <x:v>797765</x:v>
      </x:c>
      <x:c r="H53" s="50" t="n">
        <x:v>797700</x:v>
      </x:c>
      <x:c r="I53" s="50" t="n">
        <x:f>H53-G53</x:f>
        <x:v>-65</x:v>
      </x:c>
      <x:c r="J53" t="str">
        <x:f>IF(AND(ABS(F53)&lt;0.011,ABS(I53)&lt;=MAX(100,G53*0.001)),"PASS","FAIL")</x:f>
        <x:v>PASS</x:v>
      </x:c>
    </x:row>
    <x:row r="54">
      <x:c r="A54" t="str">
        <x:v>Nasdaq</x:v>
      </x:c>
      <x:c r="B54" t="str">
        <x:v>WK</x:v>
      </x:c>
      <x:c r="C54" s="18" t="n">
        <x:v>46209</x:v>
      </x:c>
      <x:c r="D54" s="94" t="n">
        <x:v>51.54</x:v>
      </x:c>
      <x:c r="E54" s="94" t="n">
        <x:v>51.540000915527344</x:v>
      </x:c>
      <x:c r="F54" s="94" t="n">
        <x:f>E54-D54</x:f>
        <x:v>9.155273446026513e-7</x:v>
      </x:c>
      <x:c r="G54" s="50" t="n">
        <x:v>635889</x:v>
      </x:c>
      <x:c r="H54" s="50" t="n">
        <x:v>635900</x:v>
      </x:c>
      <x:c r="I54" s="50" t="n">
        <x:f>H54-G54</x:f>
        <x:v>11</x:v>
      </x:c>
      <x:c r="J54" t="str">
        <x:f>IF(AND(ABS(F54)&lt;0.011,ABS(I54)&lt;=MAX(100,G54*0.001)),"PASS","FAIL")</x:f>
        <x:v>PASS</x:v>
      </x:c>
    </x:row>
    <x:row r="55">
      <x:c r="A55" t="str">
        <x:v>Nasdaq</x:v>
      </x:c>
      <x:c r="B55" t="str">
        <x:v>WK</x:v>
      </x:c>
      <x:c r="C55" s="18" t="n">
        <x:v>46205</x:v>
      </x:c>
      <x:c r="D55" s="94" t="n">
        <x:v>51.93</x:v>
      </x:c>
      <x:c r="E55" s="94" t="n">
        <x:v>51.93000030517578</x:v>
      </x:c>
      <x:c r="F55" s="94" t="n">
        <x:f>E55-D55</x:f>
        <x:v>3.051757815342171e-7</x:v>
      </x:c>
      <x:c r="G55" s="50" t="n">
        <x:v>712028</x:v>
      </x:c>
      <x:c r="H55" s="50" t="n">
        <x:v>711700</x:v>
      </x:c>
      <x:c r="I55" s="50" t="n">
        <x:f>H55-G55</x:f>
        <x:v>-328</x:v>
      </x:c>
      <x:c r="J55" t="str">
        <x:f>IF(AND(ABS(F55)&lt;0.011,ABS(I55)&lt;=MAX(100,G55*0.001)),"PASS","FAIL")</x:f>
        <x:v>PASS</x:v>
      </x:c>
    </x:row>
    <x:row r="56">
      <x:c r="A56" t="str">
        <x:v>Nasdaq</x:v>
      </x:c>
      <x:c r="B56" t="str">
        <x:v>WK</x:v>
      </x:c>
      <x:c r="C56" s="18" t="n">
        <x:v>46204</x:v>
      </x:c>
      <x:c r="D56" s="94" t="n">
        <x:v>50.79</x:v>
      </x:c>
      <x:c r="E56" s="94" t="n">
        <x:v>50.790000915527344</x:v>
      </x:c>
      <x:c r="F56" s="94" t="n">
        <x:f>E56-D56</x:f>
        <x:v>9.155273446026513e-7</x:v>
      </x:c>
      <x:c r="G56" s="50" t="n">
        <x:v>1605069</x:v>
      </x:c>
      <x:c r="H56" s="50" t="n">
        <x:v>1605100</x:v>
      </x:c>
      <x:c r="I56" s="50" t="n">
        <x:f>H56-G56</x:f>
        <x:v>31</x:v>
      </x:c>
      <x:c r="J56" t="str">
        <x:f>IF(AND(ABS(F56)&lt;0.011,ABS(I56)&lt;=MAX(100,G56*0.001)),"PASS","FAIL")</x:f>
        <x:v>PASS</x:v>
      </x:c>
    </x:row>
  </x:sheetData>
  <x:mergeCells>
    <x:mergeCell ref="A1:J1"/>
    <x:mergeCell ref="A3:J3"/>
  </x:mergeCells>
  <x:conditionalFormatting sqref="D5:D8">
    <x:cfRule type="containsText" dxfId="0" priority="1" operator="containsText" text="PASS"/>
    <x:cfRule type="containsText" dxfId="1" priority="2" operator="containsText" text="FAIL"/>
  </x:conditionalFormatting>
  <x:conditionalFormatting sqref="J11:J56">
    <x:cfRule type="containsText" dxfId="2" priority="3" operator="containsText" text="PASS"/>
    <x:cfRule type="containsText" dxfId="3" priority="4" operator="containsText" text="FAIL"/>
  </x:conditionalFormatting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32" hidden="0" customWidth="1"/>
    <x:col min="3" max="3" width="24" hidden="0" customWidth="1"/>
    <x:col min="4" max="4" width="62" hidden="0" customWidth="1"/>
    <x:col min="5" max="5" width="22" hidden="0" customWidth="1"/>
    <x:col min="6" max="6" width="44" hidden="0" customWidth="1"/>
  </x:cols>
  <x:sheetData>
    <x:row r="1" ht="28" customHeight="1">
      <x:c r="A1" s="192" t="str">
        <x:v>SOURCES ET PISTE D’AUDIT</x:v>
      </x:c>
      <x:c r="B1" s="192" t="str">
        <x:v>SOURCES ET PISTE D’AUDIT</x:v>
      </x:c>
      <x:c r="C1" s="192" t="str">
        <x:v>SOURCES ET PISTE D’AUDIT</x:v>
      </x:c>
      <x:c r="D1" s="192" t="str">
        <x:v>SOURCES ET PISTE D’AUDIT</x:v>
      </x:c>
      <x:c r="E1" s="192" t="str">
        <x:v>SOURCES ET PISTE D’AUDIT</x:v>
      </x:c>
      <x:c r="F1" s="192" t="str">
        <x:v>SOURCES ET PISTE D’AUDIT</x:v>
      </x:c>
    </x:row>
    <x:row r="3" ht="28" customHeight="1">
      <x:c r="A3" s="15" t="str">
        <x:v>ID</x:v>
      </x:c>
      <x:c r="B3" s="16" t="str">
        <x:v>Élément</x:v>
      </x:c>
      <x:c r="C3" s="16" t="str">
        <x:v>Source</x:v>
      </x:c>
      <x:c r="D3" s="16" t="str">
        <x:v>URL / référence</x:v>
      </x:c>
      <x:c r="E3" s="16" t="str">
        <x:v>Date / période</x:v>
      </x:c>
      <x:c r="F3" s="17" t="str">
        <x:v>Notes</x:v>
      </x:c>
    </x:row>
    <x:row r="4">
      <x:c r="A4" t="str">
        <x:v>S01</x:v>
      </x:c>
      <x:c r="B4" t="str">
        <x:v>Documentation extraction</x:v>
      </x:c>
      <x:c r="C4" t="str">
        <x:v>yfinance</x:v>
      </x:c>
      <x:c r="D4" s="83" t="str">
        <x:v>https://ranaroussi.github.io/yfinance/reference/api/yfinance.download.html</x:v>
      </x:c>
      <x:c r="E4" s="83" t="str">
        <x:v>Consulté 2026-07-15</x:v>
      </x:c>
      <x:c r="F4" s="83" t="str">
        <x:v>Adjusted prices; daily interval; start inclusive and end exclusive</x:v>
      </x:c>
    </x:row>
    <x:row r="5">
      <x:c r="A5" t="str">
        <x:v>S02</x:v>
      </x:c>
      <x:c r="B5" t="str">
        <x:v>Limites d'utilisation</x:v>
      </x:c>
      <x:c r="C5" t="str">
        <x:v>yfinance</x:v>
      </x:c>
      <x:c r="D5" s="83" t="str">
        <x:v>https://ranaroussi.github.io/yfinance/</x:v>
      </x:c>
      <x:c r="E5" s="83" t="str">
        <x:v>Consulté 2026-07-15</x:v>
      </x:c>
      <x:c r="F5" s="83" t="str">
        <x:v>Outil open source non affilié à Yahoo; usage recherche/personnel</x:v>
      </x:c>
    </x:row>
    <x:row r="6">
      <x:c r="A6" t="str">
        <x:v>S03</x:v>
      </x:c>
      <x:c r="B6" t="str">
        <x:v>Sidetrade — prix officiel</x:v>
      </x:c>
      <x:c r="C6" t="str">
        <x:v>Euronext</x:v>
      </x:c>
      <x:c r="D6" s="83" t="str">
        <x:v>https://live.euronext.com/en/product/equities/FR0010202606-XPAR</x:v>
      </x:c>
      <x:c r="E6" s="83" t="str">
        <x:v>Spot-check 2026-07-02 à 2026-07-15</x:v>
      </x:c>
      <x:c r="F6" s="83" t="str">
        <x:v>10/10 clôtures et volumes concordent</x:v>
      </x:c>
    </x:row>
    <x:row r="7">
      <x:c r="A7" t="str">
        <x:v>S04</x:v>
      </x:c>
      <x:c r="B7" t="str">
        <x:v>Marché historique Euronext</x:v>
      </x:c>
      <x:c r="C7" t="str">
        <x:v>Euronext Data</x:v>
      </x:c>
      <x:c r="D7" s="83" t="str">
        <x:v>https://www.euronext.com/en/data</x:v>
      </x:c>
      <x:c r="E7" s="83" t="str">
        <x:v>Consulté 2026-07-15</x:v>
      </x:c>
      <x:c r="F7" s="83" t="str">
        <x:v>Source primaire de la cotation Sidetrade</x:v>
      </x:c>
    </x:row>
    <x:row r="8">
      <x:c r="A8" t="str">
        <x:v>S05</x:v>
      </x:c>
      <x:c r="B8" t="str">
        <x:v>BlackLine — contrôle officiel</x:v>
      </x:c>
      <x:c r="C8" t="str">
        <x:v>Nasdaq</x:v>
      </x:c>
      <x:c r="D8" s="83" t="str">
        <x:v>https://www.nasdaq.com/market-activity/stocks/bl/historical</x:v>
      </x:c>
      <x:c r="E8" s="83" t="str">
        <x:v>Spot-check juillet 2026</x:v>
      </x:c>
      <x:c r="F8" s="83" t="str">
        <x:v>Clôtures concordantes; volumes Yahoo arrondis</x:v>
      </x:c>
    </x:row>
    <x:row r="9">
      <x:c r="A9" t="str">
        <x:v>S06</x:v>
      </x:c>
      <x:c r="B9" t="str">
        <x:v>BILL — contrôle officiel</x:v>
      </x:c>
      <x:c r="C9" t="str">
        <x:v>Nasdaq</x:v>
      </x:c>
      <x:c r="D9" s="83" t="str">
        <x:v>https://www.nasdaq.com/market-activity/stocks/bill/historical</x:v>
      </x:c>
      <x:c r="E9" s="83" t="str">
        <x:v>Spot-check juillet 2026</x:v>
      </x:c>
      <x:c r="F9" s="83" t="str">
        <x:v>Clôtures concordantes; volumes Yahoo arrondis</x:v>
      </x:c>
    </x:row>
    <x:row r="10">
      <x:c r="A10" t="str">
        <x:v>S07</x:v>
      </x:c>
      <x:c r="B10" t="str">
        <x:v>nCino — contrôle officiel</x:v>
      </x:c>
      <x:c r="C10" t="str">
        <x:v>Nasdaq</x:v>
      </x:c>
      <x:c r="D10" s="83" t="str">
        <x:v>https://www.nasdaq.com/market-activity/stocks/ncno/historical</x:v>
      </x:c>
      <x:c r="E10" s="83" t="str">
        <x:v>Spot-check juillet 2026</x:v>
      </x:c>
      <x:c r="F10" s="83" t="str">
        <x:v>Clôtures concordantes; volumes Yahoo arrondis</x:v>
      </x:c>
    </x:row>
    <x:row r="11">
      <x:c r="A11" t="str">
        <x:v>S08</x:v>
      </x:c>
      <x:c r="B11" t="str">
        <x:v>Workiva — contrôle officiel</x:v>
      </x:c>
      <x:c r="C11" t="str">
        <x:v>Nasdaq</x:v>
      </x:c>
      <x:c r="D11" s="83" t="str">
        <x:v>https://www.nasdaq.com/market-activity/stocks/wk/historical</x:v>
      </x:c>
      <x:c r="E11" s="83" t="str">
        <x:v>Spot-check juillet 2026</x:v>
      </x:c>
      <x:c r="F11" s="83" t="str">
        <x:v>Clôtures concordantes; volumes Yahoo arrondis</x:v>
      </x:c>
    </x:row>
    <x:row r="12">
      <x:c r="A12" t="str">
        <x:v>S09</x:v>
      </x:c>
      <x:c r="B12" t="str">
        <x:v>BlackLine — structure de capital</x:v>
      </x:c>
      <x:c r="C12" t="str">
        <x:v>SEC company facts</x:v>
      </x:c>
      <x:c r="D12" s="83" t="str">
        <x:v>https://data.sec.gov/api/xbrl/companyfacts/CIK0001666134.json</x:v>
      </x:c>
      <x:c r="E12" s="83" t="str">
        <x:v>Q1 2026</x:v>
      </x:c>
      <x:c r="F12" s="83" t="str">
        <x:v>Accession 0001628280-26-032255</x:v>
      </x:c>
    </x:row>
    <x:row r="13">
      <x:c r="A13" t="str">
        <x:v>S10</x:v>
      </x:c>
      <x:c r="B13" t="str">
        <x:v>BILL — structure de capital</x:v>
      </x:c>
      <x:c r="C13" t="str">
        <x:v>SEC company facts</x:v>
      </x:c>
      <x:c r="D13" s="83" t="str">
        <x:v>https://data.sec.gov/api/xbrl/companyfacts/CIK0001786352.json</x:v>
      </x:c>
      <x:c r="E13" s="83" t="str">
        <x:v>Q3 FY2026</x:v>
      </x:c>
      <x:c r="F13" s="83" t="str">
        <x:v>Accession 0001628280-26-032387</x:v>
      </x:c>
    </x:row>
    <x:row r="14">
      <x:c r="A14" t="str">
        <x:v>S11</x:v>
      </x:c>
      <x:c r="B14" t="str">
        <x:v>nCino — structure de capital</x:v>
      </x:c>
      <x:c r="C14" t="str">
        <x:v>SEC company facts</x:v>
      </x:c>
      <x:c r="D14" s="83" t="str">
        <x:v>https://data.sec.gov/api/xbrl/companyfacts/CIK0001902733.json</x:v>
      </x:c>
      <x:c r="E14" s="83" t="str">
        <x:v>Q1 FY2027</x:v>
      </x:c>
      <x:c r="F14" s="83" t="str">
        <x:v>Accession 0001902733-26-000066</x:v>
      </x:c>
    </x:row>
    <x:row r="15">
      <x:c r="A15" t="str">
        <x:v>S12</x:v>
      </x:c>
      <x:c r="B15" t="str">
        <x:v>Workiva — structure de capital</x:v>
      </x:c>
      <x:c r="C15" t="str">
        <x:v>SEC company facts</x:v>
      </x:c>
      <x:c r="D15" s="83" t="str">
        <x:v>https://data.sec.gov/api/xbrl/companyfacts/CIK0001445305.json</x:v>
      </x:c>
      <x:c r="E15" s="83" t="str">
        <x:v>Q1 2026</x:v>
      </x:c>
      <x:c r="F15" s="83" t="str">
        <x:v>Accession 0001445305-26-000045</x:v>
      </x:c>
    </x:row>
    <x:row r="16">
      <x:c r="A16" t="str">
        <x:v>S13</x:v>
      </x:c>
      <x:c r="B16" t="str">
        <x:v>Modèle de référence</x:v>
      </x:c>
      <x:c r="C16" t="str">
        <x:v>Sidetrade valuation v2</x:v>
      </x:c>
      <x:c r="D16" s="83" t="str">
        <x:v>Sidetrade/Sidetrade_Valuation_2026_v2.xlsx</x:v>
      </x:c>
      <x:c r="E16" s="83" t="str">
        <x:v>Version au 15/07/2026</x:v>
      </x:c>
      <x:c r="F16" s="83" t="str">
        <x:v>Bêta existant 1,15; dette cible 20%; IS 25,83%</x:v>
      </x:c>
    </x:row>
    <x:row r="18" ht="38" customHeight="1">
      <x:c r="A18" s="98" t="str">
        <x:v>Fichiers bruts conservés dans Analyse_Beta_2026/raw_data : JSON Yahoo, CSV quotidiens, exports de contrôle Euronext/Nasdaq, données SEC et manifestes horodatés.</x:v>
      </x:c>
      <x:c r="B18" s="99"/>
      <x:c r="C18" s="99"/>
      <x:c r="D18" s="99"/>
      <x:c r="E18" s="99"/>
      <x:c r="F18" s="100"/>
    </x:row>
  </x:sheetData>
  <x:mergeCells>
    <x:mergeCell ref="A1:F1"/>
    <x:mergeCell ref="A18:F18"/>
  </x:mergeCells>
  <x:pageMargins left="0.7" right="0.7" top="0.75" bottom="0.75" header="0.3" footer="0.3"/>
</x:worksheet>
</file>